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g041\Downloads\"/>
    </mc:Choice>
  </mc:AlternateContent>
  <xr:revisionPtr revIDLastSave="0" documentId="13_ncr:1_{0556C016-2AB0-45AD-9989-1E446882577C}" xr6:coauthVersionLast="47" xr6:coauthVersionMax="47" xr10:uidLastSave="{00000000-0000-0000-0000-000000000000}"/>
  <bookViews>
    <workbookView xWindow="-110" yWindow="-110" windowWidth="19420" windowHeight="10540" xr2:uid="{00000000-000D-0000-FFFF-FFFF00000000}"/>
  </bookViews>
  <sheets>
    <sheet name="OCT 8" sheetId="1" r:id="rId1"/>
    <sheet name=" OCT 9" sheetId="2" r:id="rId2"/>
    <sheet name=" OCT 10" sheetId="3" r:id="rId3"/>
    <sheet name=" OCT 12" sheetId="4" r:id="rId4"/>
    <sheet name="OCT 13" sheetId="5" r:id="rId5"/>
    <sheet name="OCT 14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e49MfUin8BjnjVdSu37FgLF0Pblu8IHQykufKtJv9GA="/>
    </ext>
  </extLst>
</workbook>
</file>

<file path=xl/calcChain.xml><?xml version="1.0" encoding="utf-8"?>
<calcChain xmlns="http://schemas.openxmlformats.org/spreadsheetml/2006/main">
  <c r="O68" i="6" l="1"/>
  <c r="Q67" i="6"/>
  <c r="O67" i="6"/>
  <c r="N67" i="6"/>
  <c r="M67" i="6"/>
  <c r="L67" i="6"/>
  <c r="G67" i="6"/>
  <c r="F67" i="6"/>
  <c r="E67" i="6"/>
  <c r="D67" i="6"/>
  <c r="C67" i="6"/>
  <c r="B67" i="6"/>
  <c r="R66" i="6"/>
  <c r="J66" i="6"/>
  <c r="H66" i="6"/>
  <c r="I66" i="6" s="1"/>
  <c r="K66" i="6" s="1"/>
  <c r="T65" i="6"/>
  <c r="R65" i="6"/>
  <c r="I65" i="6"/>
  <c r="K65" i="6" s="1"/>
  <c r="H65" i="6"/>
  <c r="R64" i="6"/>
  <c r="H64" i="6"/>
  <c r="I64" i="6" s="1"/>
  <c r="R63" i="6"/>
  <c r="H63" i="6"/>
  <c r="I63" i="6" s="1"/>
  <c r="R62" i="6"/>
  <c r="H62" i="6"/>
  <c r="I62" i="6" s="1"/>
  <c r="T62" i="6" s="1"/>
  <c r="R61" i="6"/>
  <c r="H61" i="6"/>
  <c r="I61" i="6" s="1"/>
  <c r="T61" i="6" s="1"/>
  <c r="T60" i="6"/>
  <c r="R60" i="6"/>
  <c r="K60" i="6"/>
  <c r="I60" i="6"/>
  <c r="H60" i="6"/>
  <c r="T59" i="6"/>
  <c r="R59" i="6"/>
  <c r="K59" i="6"/>
  <c r="J59" i="6"/>
  <c r="H59" i="6"/>
  <c r="I59" i="6" s="1"/>
  <c r="T58" i="6"/>
  <c r="R57" i="6"/>
  <c r="I57" i="6"/>
  <c r="H57" i="6"/>
  <c r="R56" i="6"/>
  <c r="H56" i="6"/>
  <c r="I56" i="6" s="1"/>
  <c r="R55" i="6"/>
  <c r="K55" i="6"/>
  <c r="H55" i="6"/>
  <c r="I55" i="6" s="1"/>
  <c r="T55" i="6" s="1"/>
  <c r="R54" i="6"/>
  <c r="I54" i="6"/>
  <c r="T54" i="6" s="1"/>
  <c r="H54" i="6"/>
  <c r="T53" i="6"/>
  <c r="R53" i="6"/>
  <c r="I53" i="6"/>
  <c r="K53" i="6" s="1"/>
  <c r="H53" i="6"/>
  <c r="T51" i="6"/>
  <c r="R51" i="6"/>
  <c r="K51" i="6"/>
  <c r="I51" i="6"/>
  <c r="H51" i="6"/>
  <c r="R50" i="6"/>
  <c r="J50" i="6"/>
  <c r="H50" i="6"/>
  <c r="I50" i="6" s="1"/>
  <c r="T50" i="6" s="1"/>
  <c r="R49" i="6"/>
  <c r="J49" i="6"/>
  <c r="H49" i="6"/>
  <c r="I49" i="6" s="1"/>
  <c r="T49" i="6" s="1"/>
  <c r="R48" i="6"/>
  <c r="H48" i="6"/>
  <c r="I48" i="6" s="1"/>
  <c r="R47" i="6"/>
  <c r="J47" i="6"/>
  <c r="H47" i="6"/>
  <c r="I47" i="6" s="1"/>
  <c r="R46" i="6"/>
  <c r="J46" i="6"/>
  <c r="I46" i="6"/>
  <c r="H46" i="6"/>
  <c r="T45" i="6"/>
  <c r="R45" i="6"/>
  <c r="J45" i="6"/>
  <c r="K45" i="6" s="1"/>
  <c r="I45" i="6"/>
  <c r="H45" i="6"/>
  <c r="T44" i="6"/>
  <c r="R44" i="6"/>
  <c r="J44" i="6"/>
  <c r="K44" i="6" s="1"/>
  <c r="H44" i="6"/>
  <c r="I44" i="6" s="1"/>
  <c r="R43" i="6"/>
  <c r="J43" i="6"/>
  <c r="H43" i="6"/>
  <c r="I43" i="6" s="1"/>
  <c r="T43" i="6" s="1"/>
  <c r="R42" i="6"/>
  <c r="J42" i="6"/>
  <c r="H42" i="6"/>
  <c r="I42" i="6" s="1"/>
  <c r="T41" i="6"/>
  <c r="R41" i="6"/>
  <c r="J41" i="6"/>
  <c r="K41" i="6" s="1"/>
  <c r="I41" i="6"/>
  <c r="H41" i="6"/>
  <c r="R40" i="6"/>
  <c r="J40" i="6"/>
  <c r="K40" i="6" s="1"/>
  <c r="H40" i="6"/>
  <c r="I40" i="6" s="1"/>
  <c r="T40" i="6" s="1"/>
  <c r="R39" i="6"/>
  <c r="K39" i="6"/>
  <c r="J39" i="6"/>
  <c r="H39" i="6"/>
  <c r="I39" i="6" s="1"/>
  <c r="T39" i="6" s="1"/>
  <c r="R38" i="6"/>
  <c r="J38" i="6"/>
  <c r="I38" i="6"/>
  <c r="H38" i="6"/>
  <c r="T37" i="6"/>
  <c r="R37" i="6"/>
  <c r="J37" i="6"/>
  <c r="K37" i="6" s="1"/>
  <c r="I37" i="6"/>
  <c r="H37" i="6"/>
  <c r="T35" i="6"/>
  <c r="R35" i="6"/>
  <c r="J35" i="6"/>
  <c r="K35" i="6" s="1"/>
  <c r="H35" i="6"/>
  <c r="I35" i="6" s="1"/>
  <c r="R34" i="6"/>
  <c r="J34" i="6"/>
  <c r="K34" i="6" s="1"/>
  <c r="H34" i="6"/>
  <c r="I34" i="6" s="1"/>
  <c r="T34" i="6" s="1"/>
  <c r="R33" i="6"/>
  <c r="H33" i="6"/>
  <c r="I33" i="6" s="1"/>
  <c r="R32" i="6"/>
  <c r="H32" i="6"/>
  <c r="I32" i="6" s="1"/>
  <c r="T32" i="6" s="1"/>
  <c r="R31" i="6"/>
  <c r="H31" i="6"/>
  <c r="I31" i="6" s="1"/>
  <c r="T30" i="6"/>
  <c r="R30" i="6"/>
  <c r="I30" i="6"/>
  <c r="K30" i="6" s="1"/>
  <c r="H30" i="6"/>
  <c r="R29" i="6"/>
  <c r="I29" i="6"/>
  <c r="H29" i="6"/>
  <c r="R27" i="6"/>
  <c r="H27" i="6"/>
  <c r="I27" i="6" s="1"/>
  <c r="T26" i="6"/>
  <c r="R26" i="6"/>
  <c r="J26" i="6"/>
  <c r="K26" i="6" s="1"/>
  <c r="I26" i="6"/>
  <c r="H26" i="6"/>
  <c r="R25" i="6"/>
  <c r="I25" i="6"/>
  <c r="T25" i="6" s="1"/>
  <c r="H25" i="6"/>
  <c r="R24" i="6"/>
  <c r="J24" i="6"/>
  <c r="K24" i="6" s="1"/>
  <c r="H24" i="6"/>
  <c r="I24" i="6" s="1"/>
  <c r="T24" i="6" s="1"/>
  <c r="R23" i="6"/>
  <c r="J23" i="6"/>
  <c r="H23" i="6"/>
  <c r="I23" i="6" s="1"/>
  <c r="T23" i="6" s="1"/>
  <c r="T22" i="6"/>
  <c r="R22" i="6"/>
  <c r="J22" i="6"/>
  <c r="H22" i="6"/>
  <c r="I22" i="6" s="1"/>
  <c r="K22" i="6" s="1"/>
  <c r="R21" i="6"/>
  <c r="J21" i="6"/>
  <c r="K21" i="6" s="1"/>
  <c r="I21" i="6"/>
  <c r="T21" i="6" s="1"/>
  <c r="H21" i="6"/>
  <c r="R20" i="6"/>
  <c r="J20" i="6"/>
  <c r="I20" i="6"/>
  <c r="T20" i="6" s="1"/>
  <c r="H20" i="6"/>
  <c r="R19" i="6"/>
  <c r="J19" i="6"/>
  <c r="H19" i="6"/>
  <c r="I19" i="6" s="1"/>
  <c r="T19" i="6" s="1"/>
  <c r="R18" i="6"/>
  <c r="K18" i="6"/>
  <c r="H18" i="6"/>
  <c r="I18" i="6" s="1"/>
  <c r="T18" i="6" s="1"/>
  <c r="R17" i="6"/>
  <c r="J17" i="6"/>
  <c r="I17" i="6"/>
  <c r="H17" i="6"/>
  <c r="R16" i="6"/>
  <c r="J16" i="6"/>
  <c r="H16" i="6"/>
  <c r="I16" i="6" s="1"/>
  <c r="T15" i="6"/>
  <c r="R15" i="6"/>
  <c r="J15" i="6"/>
  <c r="K15" i="6" s="1"/>
  <c r="I15" i="6"/>
  <c r="H15" i="6"/>
  <c r="R13" i="6"/>
  <c r="J13" i="6"/>
  <c r="K13" i="6" s="1"/>
  <c r="H13" i="6"/>
  <c r="I13" i="6" s="1"/>
  <c r="T13" i="6" s="1"/>
  <c r="R12" i="6"/>
  <c r="H12" i="6"/>
  <c r="I12" i="6" s="1"/>
  <c r="R11" i="6"/>
  <c r="J11" i="6"/>
  <c r="K11" i="6" s="1"/>
  <c r="H11" i="6"/>
  <c r="I11" i="6" s="1"/>
  <c r="T11" i="6" s="1"/>
  <c r="T10" i="6"/>
  <c r="R10" i="6"/>
  <c r="H10" i="6"/>
  <c r="I10" i="6" s="1"/>
  <c r="K10" i="6" s="1"/>
  <c r="R9" i="6"/>
  <c r="J9" i="6"/>
  <c r="H9" i="6"/>
  <c r="I9" i="6" s="1"/>
  <c r="T9" i="6" s="1"/>
  <c r="R8" i="6"/>
  <c r="J8" i="6"/>
  <c r="I8" i="6"/>
  <c r="H8" i="6"/>
  <c r="T7" i="6"/>
  <c r="R7" i="6"/>
  <c r="J7" i="6"/>
  <c r="K7" i="6" s="1"/>
  <c r="I7" i="6"/>
  <c r="H7" i="6"/>
  <c r="R6" i="6"/>
  <c r="P6" i="6"/>
  <c r="P67" i="6" s="1"/>
  <c r="J6" i="6"/>
  <c r="H6" i="6"/>
  <c r="I6" i="6" s="1"/>
  <c r="O68" i="5"/>
  <c r="P67" i="5"/>
  <c r="O67" i="5"/>
  <c r="N67" i="5"/>
  <c r="M67" i="5"/>
  <c r="L67" i="5"/>
  <c r="G67" i="5"/>
  <c r="F67" i="5"/>
  <c r="E67" i="5"/>
  <c r="E68" i="5" s="1"/>
  <c r="I69" i="5" s="1"/>
  <c r="D67" i="5"/>
  <c r="C67" i="5"/>
  <c r="B67" i="5"/>
  <c r="R66" i="5"/>
  <c r="Q66" i="5"/>
  <c r="K66" i="5"/>
  <c r="J66" i="5"/>
  <c r="H66" i="5"/>
  <c r="T65" i="5"/>
  <c r="R65" i="5"/>
  <c r="K65" i="5"/>
  <c r="I65" i="5"/>
  <c r="H65" i="5"/>
  <c r="T64" i="5"/>
  <c r="R64" i="5"/>
  <c r="K64" i="5"/>
  <c r="H64" i="5"/>
  <c r="T63" i="5"/>
  <c r="R63" i="5"/>
  <c r="K63" i="5"/>
  <c r="H63" i="5"/>
  <c r="R62" i="5"/>
  <c r="H62" i="5"/>
  <c r="I62" i="5" s="1"/>
  <c r="T61" i="5"/>
  <c r="R61" i="5"/>
  <c r="K61" i="5"/>
  <c r="H61" i="5"/>
  <c r="T60" i="5"/>
  <c r="R60" i="5"/>
  <c r="K60" i="5"/>
  <c r="H60" i="5"/>
  <c r="T59" i="5"/>
  <c r="R59" i="5"/>
  <c r="J59" i="5"/>
  <c r="K59" i="5" s="1"/>
  <c r="H59" i="5"/>
  <c r="T58" i="5"/>
  <c r="T57" i="5"/>
  <c r="Q57" i="5"/>
  <c r="R57" i="5" s="1"/>
  <c r="K57" i="5"/>
  <c r="H57" i="5"/>
  <c r="Q56" i="5"/>
  <c r="R56" i="5" s="1"/>
  <c r="H56" i="5"/>
  <c r="I56" i="5" s="1"/>
  <c r="T55" i="5"/>
  <c r="Q55" i="5"/>
  <c r="R55" i="5" s="1"/>
  <c r="K55" i="5"/>
  <c r="H55" i="5"/>
  <c r="Q54" i="5"/>
  <c r="R54" i="5" s="1"/>
  <c r="H54" i="5"/>
  <c r="I54" i="5" s="1"/>
  <c r="K54" i="5" s="1"/>
  <c r="Q53" i="5"/>
  <c r="R53" i="5" s="1"/>
  <c r="I53" i="5"/>
  <c r="H53" i="5"/>
  <c r="R51" i="5"/>
  <c r="I51" i="5"/>
  <c r="H51" i="5"/>
  <c r="T50" i="5"/>
  <c r="R50" i="5"/>
  <c r="Q50" i="5"/>
  <c r="J50" i="5"/>
  <c r="K50" i="5" s="1"/>
  <c r="I50" i="5"/>
  <c r="H50" i="5"/>
  <c r="T49" i="5"/>
  <c r="Q49" i="5"/>
  <c r="R49" i="5" s="1"/>
  <c r="K49" i="5"/>
  <c r="J49" i="5"/>
  <c r="I49" i="5"/>
  <c r="H49" i="5"/>
  <c r="T48" i="5"/>
  <c r="Q48" i="5"/>
  <c r="R48" i="5" s="1"/>
  <c r="K48" i="5"/>
  <c r="I48" i="5"/>
  <c r="H48" i="5"/>
  <c r="Q47" i="5"/>
  <c r="R47" i="5" s="1"/>
  <c r="J47" i="5"/>
  <c r="K47" i="5" s="1"/>
  <c r="I47" i="5"/>
  <c r="T47" i="5" s="1"/>
  <c r="H47" i="5"/>
  <c r="R46" i="5"/>
  <c r="Q46" i="5"/>
  <c r="J46" i="5"/>
  <c r="K46" i="5" s="1"/>
  <c r="I46" i="5"/>
  <c r="T46" i="5" s="1"/>
  <c r="H46" i="5"/>
  <c r="Q45" i="5"/>
  <c r="R45" i="5" s="1"/>
  <c r="J45" i="5"/>
  <c r="I45" i="5"/>
  <c r="T45" i="5" s="1"/>
  <c r="H45" i="5"/>
  <c r="T44" i="5"/>
  <c r="R44" i="5"/>
  <c r="Q44" i="5"/>
  <c r="J44" i="5"/>
  <c r="I44" i="5"/>
  <c r="K44" i="5" s="1"/>
  <c r="H44" i="5"/>
  <c r="T43" i="5"/>
  <c r="R43" i="5"/>
  <c r="Q43" i="5"/>
  <c r="J43" i="5"/>
  <c r="K43" i="5" s="1"/>
  <c r="I43" i="5"/>
  <c r="H43" i="5"/>
  <c r="T42" i="5"/>
  <c r="Q42" i="5"/>
  <c r="R42" i="5" s="1"/>
  <c r="K42" i="5"/>
  <c r="J42" i="5"/>
  <c r="I42" i="5"/>
  <c r="H42" i="5"/>
  <c r="T41" i="5"/>
  <c r="R41" i="5"/>
  <c r="Q41" i="5"/>
  <c r="K41" i="5"/>
  <c r="J41" i="5"/>
  <c r="I41" i="5"/>
  <c r="H41" i="5"/>
  <c r="R40" i="5"/>
  <c r="Q40" i="5"/>
  <c r="K40" i="5"/>
  <c r="J40" i="5"/>
  <c r="I40" i="5"/>
  <c r="T40" i="5" s="1"/>
  <c r="H40" i="5"/>
  <c r="Q39" i="5"/>
  <c r="R39" i="5" s="1"/>
  <c r="K39" i="5"/>
  <c r="J39" i="5"/>
  <c r="I39" i="5"/>
  <c r="T39" i="5" s="1"/>
  <c r="H39" i="5"/>
  <c r="R38" i="5"/>
  <c r="Q38" i="5"/>
  <c r="J38" i="5"/>
  <c r="I38" i="5"/>
  <c r="H38" i="5"/>
  <c r="Q37" i="5"/>
  <c r="R37" i="5" s="1"/>
  <c r="J37" i="5"/>
  <c r="K37" i="5" s="1"/>
  <c r="I37" i="5"/>
  <c r="T37" i="5" s="1"/>
  <c r="H37" i="5"/>
  <c r="T35" i="5"/>
  <c r="R35" i="5"/>
  <c r="J35" i="5"/>
  <c r="K35" i="5" s="1"/>
  <c r="H35" i="5"/>
  <c r="T34" i="5"/>
  <c r="R34" i="5"/>
  <c r="Q34" i="5"/>
  <c r="K34" i="5"/>
  <c r="J34" i="5"/>
  <c r="I34" i="5"/>
  <c r="H34" i="5"/>
  <c r="T33" i="5"/>
  <c r="R33" i="5"/>
  <c r="K33" i="5"/>
  <c r="H33" i="5"/>
  <c r="T32" i="5"/>
  <c r="R32" i="5"/>
  <c r="I32" i="5"/>
  <c r="K32" i="5" s="1"/>
  <c r="H32" i="5"/>
  <c r="R31" i="5"/>
  <c r="I31" i="5"/>
  <c r="T31" i="5" s="1"/>
  <c r="H31" i="5"/>
  <c r="R30" i="5"/>
  <c r="H30" i="5"/>
  <c r="I30" i="5" s="1"/>
  <c r="T29" i="5"/>
  <c r="R29" i="5"/>
  <c r="K29" i="5"/>
  <c r="I29" i="5"/>
  <c r="H29" i="5"/>
  <c r="R27" i="5"/>
  <c r="J27" i="5"/>
  <c r="K27" i="5" s="1"/>
  <c r="I27" i="5"/>
  <c r="T27" i="5" s="1"/>
  <c r="H27" i="5"/>
  <c r="R26" i="5"/>
  <c r="Q26" i="5"/>
  <c r="J26" i="5"/>
  <c r="K26" i="5" s="1"/>
  <c r="I26" i="5"/>
  <c r="T26" i="5" s="1"/>
  <c r="H26" i="5"/>
  <c r="R25" i="5"/>
  <c r="J25" i="5"/>
  <c r="I25" i="5"/>
  <c r="H25" i="5"/>
  <c r="T24" i="5"/>
  <c r="R24" i="5"/>
  <c r="Q24" i="5"/>
  <c r="J24" i="5"/>
  <c r="K24" i="5" s="1"/>
  <c r="I24" i="5"/>
  <c r="H24" i="5"/>
  <c r="T23" i="5"/>
  <c r="Q23" i="5"/>
  <c r="R23" i="5" s="1"/>
  <c r="K23" i="5"/>
  <c r="J23" i="5"/>
  <c r="I23" i="5"/>
  <c r="H23" i="5"/>
  <c r="T22" i="5"/>
  <c r="Q22" i="5"/>
  <c r="R22" i="5" s="1"/>
  <c r="K22" i="5"/>
  <c r="I22" i="5"/>
  <c r="H22" i="5"/>
  <c r="R21" i="5"/>
  <c r="J21" i="5"/>
  <c r="K21" i="5" s="1"/>
  <c r="I21" i="5"/>
  <c r="T21" i="5" s="1"/>
  <c r="H21" i="5"/>
  <c r="Q20" i="5"/>
  <c r="R20" i="5" s="1"/>
  <c r="J20" i="5"/>
  <c r="K20" i="5" s="1"/>
  <c r="I20" i="5"/>
  <c r="T20" i="5" s="1"/>
  <c r="H20" i="5"/>
  <c r="T19" i="5"/>
  <c r="R19" i="5"/>
  <c r="J19" i="5"/>
  <c r="K19" i="5" s="1"/>
  <c r="I19" i="5"/>
  <c r="H19" i="5"/>
  <c r="T18" i="5"/>
  <c r="Q18" i="5"/>
  <c r="R18" i="5" s="1"/>
  <c r="K18" i="5"/>
  <c r="J18" i="5"/>
  <c r="I18" i="5"/>
  <c r="H18" i="5"/>
  <c r="T17" i="5"/>
  <c r="R17" i="5"/>
  <c r="Q17" i="5"/>
  <c r="K17" i="5"/>
  <c r="J17" i="5"/>
  <c r="I17" i="5"/>
  <c r="H17" i="5"/>
  <c r="Q16" i="5"/>
  <c r="K16" i="5"/>
  <c r="J16" i="5"/>
  <c r="I16" i="5"/>
  <c r="T16" i="5" s="1"/>
  <c r="H16" i="5"/>
  <c r="R15" i="5"/>
  <c r="J15" i="5"/>
  <c r="K15" i="5" s="1"/>
  <c r="I15" i="5"/>
  <c r="T15" i="5" s="1"/>
  <c r="H15" i="5"/>
  <c r="R13" i="5"/>
  <c r="J13" i="5"/>
  <c r="I13" i="5"/>
  <c r="H13" i="5"/>
  <c r="T12" i="5"/>
  <c r="R12" i="5"/>
  <c r="K12" i="5"/>
  <c r="J12" i="5"/>
  <c r="I12" i="5"/>
  <c r="H12" i="5"/>
  <c r="T11" i="5"/>
  <c r="R11" i="5"/>
  <c r="J11" i="5"/>
  <c r="K11" i="5" s="1"/>
  <c r="I11" i="5"/>
  <c r="H11" i="5"/>
  <c r="R10" i="5"/>
  <c r="K10" i="5"/>
  <c r="J10" i="5"/>
  <c r="I10" i="5"/>
  <c r="T10" i="5" s="1"/>
  <c r="H10" i="5"/>
  <c r="R9" i="5"/>
  <c r="J9" i="5"/>
  <c r="I9" i="5"/>
  <c r="H9" i="5"/>
  <c r="T8" i="5"/>
  <c r="R8" i="5"/>
  <c r="K8" i="5"/>
  <c r="J8" i="5"/>
  <c r="I8" i="5"/>
  <c r="H8" i="5"/>
  <c r="T7" i="5"/>
  <c r="R7" i="5"/>
  <c r="K7" i="5"/>
  <c r="J7" i="5"/>
  <c r="I7" i="5"/>
  <c r="H7" i="5"/>
  <c r="R6" i="5"/>
  <c r="J6" i="5"/>
  <c r="I6" i="5"/>
  <c r="H6" i="5"/>
  <c r="P68" i="4"/>
  <c r="Q67" i="4"/>
  <c r="P67" i="4"/>
  <c r="O67" i="4"/>
  <c r="N67" i="4"/>
  <c r="M67" i="4"/>
  <c r="H67" i="4"/>
  <c r="E67" i="4"/>
  <c r="D67" i="4"/>
  <c r="C67" i="4"/>
  <c r="B67" i="4"/>
  <c r="S66" i="4"/>
  <c r="K66" i="4"/>
  <c r="I66" i="4"/>
  <c r="J66" i="4" s="1"/>
  <c r="L66" i="4" s="1"/>
  <c r="S65" i="4"/>
  <c r="I65" i="4"/>
  <c r="J65" i="4" s="1"/>
  <c r="S64" i="4"/>
  <c r="I64" i="4"/>
  <c r="J64" i="4" s="1"/>
  <c r="U63" i="4"/>
  <c r="S63" i="4"/>
  <c r="L63" i="4"/>
  <c r="J63" i="4"/>
  <c r="I63" i="4"/>
  <c r="S62" i="4"/>
  <c r="J62" i="4"/>
  <c r="U62" i="4" s="1"/>
  <c r="I62" i="4"/>
  <c r="U61" i="4"/>
  <c r="S61" i="4"/>
  <c r="J61" i="4"/>
  <c r="L61" i="4" s="1"/>
  <c r="I61" i="4"/>
  <c r="U60" i="4"/>
  <c r="S60" i="4"/>
  <c r="L60" i="4"/>
  <c r="J60" i="4"/>
  <c r="I60" i="4"/>
  <c r="S59" i="4"/>
  <c r="K59" i="4"/>
  <c r="I59" i="4"/>
  <c r="J59" i="4" s="1"/>
  <c r="U59" i="4" s="1"/>
  <c r="U58" i="4"/>
  <c r="S57" i="4"/>
  <c r="I57" i="4"/>
  <c r="J57" i="4" s="1"/>
  <c r="U56" i="4"/>
  <c r="S56" i="4"/>
  <c r="L56" i="4"/>
  <c r="J56" i="4"/>
  <c r="I56" i="4"/>
  <c r="S55" i="4"/>
  <c r="I55" i="4"/>
  <c r="J55" i="4" s="1"/>
  <c r="U54" i="4"/>
  <c r="S54" i="4"/>
  <c r="J54" i="4"/>
  <c r="L54" i="4" s="1"/>
  <c r="I54" i="4"/>
  <c r="S53" i="4"/>
  <c r="J53" i="4"/>
  <c r="U53" i="4" s="1"/>
  <c r="I53" i="4"/>
  <c r="S51" i="4"/>
  <c r="K51" i="4"/>
  <c r="J51" i="4"/>
  <c r="U51" i="4" s="1"/>
  <c r="I51" i="4"/>
  <c r="S50" i="4"/>
  <c r="K50" i="4"/>
  <c r="I50" i="4"/>
  <c r="J50" i="4" s="1"/>
  <c r="U50" i="4" s="1"/>
  <c r="U49" i="4"/>
  <c r="S49" i="4"/>
  <c r="L49" i="4"/>
  <c r="K49" i="4"/>
  <c r="I49" i="4"/>
  <c r="J49" i="4" s="1"/>
  <c r="S48" i="4"/>
  <c r="K48" i="4"/>
  <c r="L48" i="4" s="1"/>
  <c r="J48" i="4"/>
  <c r="U48" i="4" s="1"/>
  <c r="I48" i="4"/>
  <c r="S47" i="4"/>
  <c r="K47" i="4"/>
  <c r="I47" i="4"/>
  <c r="J47" i="4" s="1"/>
  <c r="U47" i="4" s="1"/>
  <c r="S46" i="4"/>
  <c r="K46" i="4"/>
  <c r="L46" i="4" s="1"/>
  <c r="I46" i="4"/>
  <c r="J46" i="4" s="1"/>
  <c r="U46" i="4" s="1"/>
  <c r="U45" i="4"/>
  <c r="S45" i="4"/>
  <c r="K45" i="4"/>
  <c r="G45" i="4"/>
  <c r="F45" i="4"/>
  <c r="I45" i="4" s="1"/>
  <c r="J45" i="4" s="1"/>
  <c r="L45" i="4" s="1"/>
  <c r="U44" i="4"/>
  <c r="S44" i="4"/>
  <c r="L44" i="4"/>
  <c r="K44" i="4"/>
  <c r="I44" i="4"/>
  <c r="J44" i="4" s="1"/>
  <c r="S43" i="4"/>
  <c r="K43" i="4"/>
  <c r="L43" i="4" s="1"/>
  <c r="J43" i="4"/>
  <c r="U43" i="4" s="1"/>
  <c r="I43" i="4"/>
  <c r="F43" i="4"/>
  <c r="S42" i="4"/>
  <c r="K42" i="4"/>
  <c r="I42" i="4"/>
  <c r="J42" i="4" s="1"/>
  <c r="U42" i="4" s="1"/>
  <c r="S41" i="4"/>
  <c r="K41" i="4"/>
  <c r="J41" i="4"/>
  <c r="I41" i="4"/>
  <c r="U40" i="4"/>
  <c r="S40" i="4"/>
  <c r="L40" i="4"/>
  <c r="K40" i="4"/>
  <c r="J40" i="4"/>
  <c r="I40" i="4"/>
  <c r="U39" i="4"/>
  <c r="S39" i="4"/>
  <c r="K39" i="4"/>
  <c r="L39" i="4" s="1"/>
  <c r="F39" i="4"/>
  <c r="I39" i="4" s="1"/>
  <c r="J39" i="4" s="1"/>
  <c r="S38" i="4"/>
  <c r="K38" i="4"/>
  <c r="J38" i="4"/>
  <c r="I38" i="4"/>
  <c r="S37" i="4"/>
  <c r="K37" i="4"/>
  <c r="I37" i="4"/>
  <c r="J37" i="4" s="1"/>
  <c r="U37" i="4" s="1"/>
  <c r="U35" i="4"/>
  <c r="S35" i="4"/>
  <c r="J35" i="4"/>
  <c r="L35" i="4" s="1"/>
  <c r="I35" i="4"/>
  <c r="U34" i="4"/>
  <c r="S34" i="4"/>
  <c r="K34" i="4"/>
  <c r="L34" i="4" s="1"/>
  <c r="J34" i="4"/>
  <c r="I34" i="4"/>
  <c r="S33" i="4"/>
  <c r="I33" i="4"/>
  <c r="J33" i="4" s="1"/>
  <c r="U32" i="4"/>
  <c r="S32" i="4"/>
  <c r="J32" i="4"/>
  <c r="L32" i="4" s="1"/>
  <c r="I32" i="4"/>
  <c r="U31" i="4"/>
  <c r="S31" i="4"/>
  <c r="J31" i="4"/>
  <c r="L31" i="4" s="1"/>
  <c r="I31" i="4"/>
  <c r="S30" i="4"/>
  <c r="J30" i="4"/>
  <c r="I30" i="4"/>
  <c r="U29" i="4"/>
  <c r="S29" i="4"/>
  <c r="I29" i="4"/>
  <c r="J29" i="4" s="1"/>
  <c r="L29" i="4" s="1"/>
  <c r="S27" i="4"/>
  <c r="K27" i="4"/>
  <c r="L27" i="4" s="1"/>
  <c r="J27" i="4"/>
  <c r="U27" i="4" s="1"/>
  <c r="I27" i="4"/>
  <c r="S26" i="4"/>
  <c r="R26" i="4"/>
  <c r="K26" i="4"/>
  <c r="L26" i="4" s="1"/>
  <c r="I26" i="4"/>
  <c r="J26" i="4" s="1"/>
  <c r="U26" i="4" s="1"/>
  <c r="S25" i="4"/>
  <c r="K25" i="4"/>
  <c r="J25" i="4"/>
  <c r="I25" i="4"/>
  <c r="U24" i="4"/>
  <c r="S24" i="4"/>
  <c r="L24" i="4"/>
  <c r="K24" i="4"/>
  <c r="J24" i="4"/>
  <c r="I24" i="4"/>
  <c r="U23" i="4"/>
  <c r="R23" i="4"/>
  <c r="S23" i="4" s="1"/>
  <c r="K23" i="4"/>
  <c r="I23" i="4"/>
  <c r="J23" i="4" s="1"/>
  <c r="L23" i="4" s="1"/>
  <c r="S22" i="4"/>
  <c r="J22" i="4"/>
  <c r="I22" i="4"/>
  <c r="S21" i="4"/>
  <c r="K21" i="4"/>
  <c r="G21" i="4"/>
  <c r="G67" i="4" s="1"/>
  <c r="S20" i="4"/>
  <c r="R20" i="4"/>
  <c r="K20" i="4"/>
  <c r="F20" i="4"/>
  <c r="F67" i="4" s="1"/>
  <c r="U19" i="4"/>
  <c r="S19" i="4"/>
  <c r="K19" i="4"/>
  <c r="L19" i="4" s="1"/>
  <c r="I19" i="4"/>
  <c r="J19" i="4" s="1"/>
  <c r="U18" i="4"/>
  <c r="S18" i="4"/>
  <c r="L18" i="4"/>
  <c r="J18" i="4"/>
  <c r="I18" i="4"/>
  <c r="R17" i="4"/>
  <c r="S17" i="4" s="1"/>
  <c r="I17" i="4"/>
  <c r="J17" i="4" s="1"/>
  <c r="U17" i="4" s="1"/>
  <c r="R16" i="4"/>
  <c r="S16" i="4" s="1"/>
  <c r="K16" i="4"/>
  <c r="I16" i="4"/>
  <c r="J16" i="4" s="1"/>
  <c r="U16" i="4" s="1"/>
  <c r="S15" i="4"/>
  <c r="K15" i="4"/>
  <c r="I15" i="4"/>
  <c r="J15" i="4" s="1"/>
  <c r="U15" i="4" s="1"/>
  <c r="U13" i="4"/>
  <c r="S13" i="4"/>
  <c r="L13" i="4"/>
  <c r="K13" i="4"/>
  <c r="I13" i="4"/>
  <c r="J13" i="4" s="1"/>
  <c r="S12" i="4"/>
  <c r="I12" i="4"/>
  <c r="J12" i="4" s="1"/>
  <c r="S11" i="4"/>
  <c r="I11" i="4"/>
  <c r="J11" i="4" s="1"/>
  <c r="U10" i="4"/>
  <c r="S10" i="4"/>
  <c r="L10" i="4"/>
  <c r="K10" i="4"/>
  <c r="I10" i="4"/>
  <c r="J10" i="4" s="1"/>
  <c r="S9" i="4"/>
  <c r="K9" i="4"/>
  <c r="L9" i="4" s="1"/>
  <c r="J9" i="4"/>
  <c r="U9" i="4" s="1"/>
  <c r="I9" i="4"/>
  <c r="S8" i="4"/>
  <c r="K8" i="4"/>
  <c r="I8" i="4"/>
  <c r="J8" i="4" s="1"/>
  <c r="U8" i="4" s="1"/>
  <c r="U7" i="4"/>
  <c r="S7" i="4"/>
  <c r="K7" i="4"/>
  <c r="L7" i="4" s="1"/>
  <c r="I7" i="4"/>
  <c r="J7" i="4" s="1"/>
  <c r="U6" i="4"/>
  <c r="S6" i="4"/>
  <c r="K6" i="4"/>
  <c r="I6" i="4"/>
  <c r="J6" i="4" s="1"/>
  <c r="O68" i="3"/>
  <c r="O67" i="3"/>
  <c r="N67" i="3"/>
  <c r="M67" i="3"/>
  <c r="L67" i="3"/>
  <c r="F67" i="3"/>
  <c r="E67" i="3"/>
  <c r="E68" i="3" s="1"/>
  <c r="I69" i="3" s="1"/>
  <c r="B67" i="3"/>
  <c r="R66" i="3"/>
  <c r="Q66" i="3"/>
  <c r="P66" i="3"/>
  <c r="H66" i="3"/>
  <c r="I66" i="3" s="1"/>
  <c r="K66" i="3" s="1"/>
  <c r="T65" i="3"/>
  <c r="R65" i="3"/>
  <c r="P65" i="3"/>
  <c r="I65" i="3"/>
  <c r="K65" i="3" s="1"/>
  <c r="H65" i="3"/>
  <c r="P64" i="3"/>
  <c r="K64" i="3"/>
  <c r="I64" i="3"/>
  <c r="H64" i="3"/>
  <c r="P63" i="3"/>
  <c r="R63" i="3" s="1"/>
  <c r="I63" i="3"/>
  <c r="T63" i="3" s="1"/>
  <c r="H63" i="3"/>
  <c r="P62" i="3"/>
  <c r="R62" i="3" s="1"/>
  <c r="H62" i="3"/>
  <c r="I62" i="3" s="1"/>
  <c r="T61" i="3"/>
  <c r="R61" i="3"/>
  <c r="P61" i="3"/>
  <c r="I61" i="3"/>
  <c r="K61" i="3" s="1"/>
  <c r="H61" i="3"/>
  <c r="T60" i="3"/>
  <c r="P60" i="3"/>
  <c r="R60" i="3" s="1"/>
  <c r="K60" i="3"/>
  <c r="I60" i="3"/>
  <c r="H60" i="3"/>
  <c r="P59" i="3"/>
  <c r="R59" i="3" s="1"/>
  <c r="J59" i="3"/>
  <c r="K59" i="3" s="1"/>
  <c r="I59" i="3"/>
  <c r="H59" i="3"/>
  <c r="T58" i="3"/>
  <c r="Q57" i="3"/>
  <c r="P57" i="3"/>
  <c r="K57" i="3"/>
  <c r="I57" i="3"/>
  <c r="H57" i="3"/>
  <c r="Q56" i="3"/>
  <c r="P56" i="3"/>
  <c r="R56" i="3" s="1"/>
  <c r="H56" i="3"/>
  <c r="I56" i="3" s="1"/>
  <c r="Q55" i="3"/>
  <c r="R55" i="3" s="1"/>
  <c r="P55" i="3"/>
  <c r="K55" i="3"/>
  <c r="H55" i="3"/>
  <c r="I55" i="3" s="1"/>
  <c r="T55" i="3" s="1"/>
  <c r="R54" i="3"/>
  <c r="Q54" i="3"/>
  <c r="P54" i="3"/>
  <c r="H54" i="3"/>
  <c r="I54" i="3" s="1"/>
  <c r="R53" i="3"/>
  <c r="Q53" i="3"/>
  <c r="P53" i="3"/>
  <c r="H53" i="3"/>
  <c r="I53" i="3" s="1"/>
  <c r="K53" i="3" s="1"/>
  <c r="T51" i="3"/>
  <c r="Q51" i="3"/>
  <c r="R51" i="3" s="1"/>
  <c r="P51" i="3"/>
  <c r="I51" i="3"/>
  <c r="K51" i="3" s="1"/>
  <c r="H51" i="3"/>
  <c r="Q50" i="3"/>
  <c r="R50" i="3" s="1"/>
  <c r="P50" i="3"/>
  <c r="K50" i="3"/>
  <c r="J50" i="3"/>
  <c r="E50" i="3"/>
  <c r="H50" i="3" s="1"/>
  <c r="I50" i="3" s="1"/>
  <c r="T50" i="3" s="1"/>
  <c r="Q49" i="3"/>
  <c r="R49" i="3" s="1"/>
  <c r="P49" i="3"/>
  <c r="T49" i="3" s="1"/>
  <c r="I49" i="3"/>
  <c r="K49" i="3" s="1"/>
  <c r="H49" i="3"/>
  <c r="R48" i="3"/>
  <c r="Q48" i="3"/>
  <c r="P48" i="3"/>
  <c r="H48" i="3"/>
  <c r="I48" i="3" s="1"/>
  <c r="T48" i="3" s="1"/>
  <c r="Q47" i="3"/>
  <c r="R47" i="3" s="1"/>
  <c r="P47" i="3"/>
  <c r="J47" i="3"/>
  <c r="H47" i="3"/>
  <c r="E47" i="3"/>
  <c r="C47" i="3"/>
  <c r="R46" i="3"/>
  <c r="Q46" i="3"/>
  <c r="P46" i="3"/>
  <c r="J46" i="3"/>
  <c r="H46" i="3"/>
  <c r="I46" i="3" s="1"/>
  <c r="T46" i="3" s="1"/>
  <c r="Q45" i="3"/>
  <c r="P45" i="3"/>
  <c r="R45" i="3" s="1"/>
  <c r="J45" i="3"/>
  <c r="H45" i="3"/>
  <c r="I45" i="3" s="1"/>
  <c r="T45" i="3" s="1"/>
  <c r="G45" i="3"/>
  <c r="G67" i="3" s="1"/>
  <c r="E45" i="3"/>
  <c r="R44" i="3"/>
  <c r="P44" i="3"/>
  <c r="J44" i="3"/>
  <c r="H44" i="3"/>
  <c r="I44" i="3" s="1"/>
  <c r="Q43" i="3"/>
  <c r="R43" i="3" s="1"/>
  <c r="P43" i="3"/>
  <c r="J43" i="3"/>
  <c r="I43" i="3"/>
  <c r="H43" i="3"/>
  <c r="Q42" i="3"/>
  <c r="R42" i="3" s="1"/>
  <c r="P42" i="3"/>
  <c r="J42" i="3"/>
  <c r="H42" i="3"/>
  <c r="I42" i="3" s="1"/>
  <c r="R41" i="3"/>
  <c r="Q41" i="3"/>
  <c r="P41" i="3"/>
  <c r="J41" i="3"/>
  <c r="I41" i="3"/>
  <c r="K41" i="3" s="1"/>
  <c r="H41" i="3"/>
  <c r="T40" i="3"/>
  <c r="P40" i="3"/>
  <c r="R40" i="3" s="1"/>
  <c r="J40" i="3"/>
  <c r="H40" i="3"/>
  <c r="I40" i="3" s="1"/>
  <c r="Q39" i="3"/>
  <c r="P39" i="3"/>
  <c r="R39" i="3" s="1"/>
  <c r="J39" i="3"/>
  <c r="H39" i="3"/>
  <c r="I39" i="3" s="1"/>
  <c r="T39" i="3" s="1"/>
  <c r="D39" i="3"/>
  <c r="C39" i="3"/>
  <c r="C67" i="3" s="1"/>
  <c r="R38" i="3"/>
  <c r="Q38" i="3"/>
  <c r="P38" i="3"/>
  <c r="J38" i="3"/>
  <c r="I38" i="3"/>
  <c r="T38" i="3" s="1"/>
  <c r="H38" i="3"/>
  <c r="R37" i="3"/>
  <c r="Q37" i="3"/>
  <c r="P37" i="3"/>
  <c r="J37" i="3"/>
  <c r="K37" i="3" s="1"/>
  <c r="H37" i="3"/>
  <c r="I37" i="3" s="1"/>
  <c r="T37" i="3" s="1"/>
  <c r="R35" i="3"/>
  <c r="P35" i="3"/>
  <c r="J35" i="3"/>
  <c r="I35" i="3"/>
  <c r="H35" i="3"/>
  <c r="Q34" i="3"/>
  <c r="R34" i="3" s="1"/>
  <c r="P34" i="3"/>
  <c r="J34" i="3"/>
  <c r="I34" i="3"/>
  <c r="H34" i="3"/>
  <c r="T33" i="3"/>
  <c r="P33" i="3"/>
  <c r="R33" i="3" s="1"/>
  <c r="I33" i="3"/>
  <c r="K33" i="3" s="1"/>
  <c r="H33" i="3"/>
  <c r="R32" i="3"/>
  <c r="P32" i="3"/>
  <c r="K32" i="3"/>
  <c r="J32" i="3"/>
  <c r="H32" i="3"/>
  <c r="I32" i="3" s="1"/>
  <c r="T32" i="3" s="1"/>
  <c r="P31" i="3"/>
  <c r="R31" i="3" s="1"/>
  <c r="I31" i="3"/>
  <c r="H31" i="3"/>
  <c r="R30" i="3"/>
  <c r="P30" i="3"/>
  <c r="J30" i="3"/>
  <c r="I30" i="3"/>
  <c r="H30" i="3"/>
  <c r="P29" i="3"/>
  <c r="R29" i="3" s="1"/>
  <c r="J29" i="3"/>
  <c r="H29" i="3"/>
  <c r="I29" i="3" s="1"/>
  <c r="T29" i="3" s="1"/>
  <c r="R27" i="3"/>
  <c r="P27" i="3"/>
  <c r="K27" i="3"/>
  <c r="J27" i="3"/>
  <c r="I27" i="3"/>
  <c r="T27" i="3" s="1"/>
  <c r="H27" i="3"/>
  <c r="P26" i="3"/>
  <c r="I26" i="3"/>
  <c r="K26" i="3" s="1"/>
  <c r="H26" i="3"/>
  <c r="R25" i="3"/>
  <c r="Q25" i="3"/>
  <c r="P25" i="3"/>
  <c r="H25" i="3"/>
  <c r="I25" i="3" s="1"/>
  <c r="R24" i="3"/>
  <c r="Q24" i="3"/>
  <c r="P24" i="3"/>
  <c r="J24" i="3"/>
  <c r="K24" i="3" s="1"/>
  <c r="H24" i="3"/>
  <c r="I24" i="3" s="1"/>
  <c r="T24" i="3" s="1"/>
  <c r="Q23" i="3"/>
  <c r="R23" i="3" s="1"/>
  <c r="P23" i="3"/>
  <c r="J23" i="3"/>
  <c r="E23" i="3"/>
  <c r="H23" i="3" s="1"/>
  <c r="I23" i="3" s="1"/>
  <c r="K23" i="3" s="1"/>
  <c r="T22" i="3"/>
  <c r="Q22" i="3"/>
  <c r="R22" i="3" s="1"/>
  <c r="P22" i="3"/>
  <c r="K22" i="3"/>
  <c r="H22" i="3"/>
  <c r="I22" i="3" s="1"/>
  <c r="Q21" i="3"/>
  <c r="R21" i="3" s="1"/>
  <c r="P21" i="3"/>
  <c r="K21" i="3"/>
  <c r="J21" i="3"/>
  <c r="H21" i="3"/>
  <c r="I21" i="3" s="1"/>
  <c r="T21" i="3" s="1"/>
  <c r="E21" i="3"/>
  <c r="D21" i="3"/>
  <c r="D67" i="3" s="1"/>
  <c r="Q20" i="3"/>
  <c r="P20" i="3"/>
  <c r="R20" i="3" s="1"/>
  <c r="J20" i="3"/>
  <c r="I20" i="3"/>
  <c r="T20" i="3" s="1"/>
  <c r="H20" i="3"/>
  <c r="Q19" i="3"/>
  <c r="R19" i="3" s="1"/>
  <c r="P19" i="3"/>
  <c r="K19" i="3"/>
  <c r="J19" i="3"/>
  <c r="I19" i="3"/>
  <c r="T19" i="3" s="1"/>
  <c r="H19" i="3"/>
  <c r="P18" i="3"/>
  <c r="R18" i="3" s="1"/>
  <c r="J18" i="3"/>
  <c r="K18" i="3" s="1"/>
  <c r="H18" i="3"/>
  <c r="I18" i="3" s="1"/>
  <c r="P17" i="3"/>
  <c r="R17" i="3" s="1"/>
  <c r="J17" i="3"/>
  <c r="I17" i="3"/>
  <c r="T17" i="3" s="1"/>
  <c r="H17" i="3"/>
  <c r="Q16" i="3"/>
  <c r="P16" i="3"/>
  <c r="J16" i="3"/>
  <c r="E16" i="3"/>
  <c r="H16" i="3" s="1"/>
  <c r="I16" i="3" s="1"/>
  <c r="P15" i="3"/>
  <c r="R15" i="3" s="1"/>
  <c r="K15" i="3"/>
  <c r="J15" i="3"/>
  <c r="I15" i="3"/>
  <c r="T15" i="3" s="1"/>
  <c r="H15" i="3"/>
  <c r="P13" i="3"/>
  <c r="R13" i="3" s="1"/>
  <c r="J13" i="3"/>
  <c r="H13" i="3"/>
  <c r="I13" i="3" s="1"/>
  <c r="T13" i="3" s="1"/>
  <c r="R12" i="3"/>
  <c r="P12" i="3"/>
  <c r="J12" i="3"/>
  <c r="K12" i="3" s="1"/>
  <c r="I12" i="3"/>
  <c r="T12" i="3" s="1"/>
  <c r="H12" i="3"/>
  <c r="P11" i="3"/>
  <c r="R11" i="3" s="1"/>
  <c r="J11" i="3"/>
  <c r="K11" i="3" s="1"/>
  <c r="H11" i="3"/>
  <c r="I11" i="3" s="1"/>
  <c r="T11" i="3" s="1"/>
  <c r="R10" i="3"/>
  <c r="P10" i="3"/>
  <c r="J10" i="3"/>
  <c r="H10" i="3"/>
  <c r="I10" i="3" s="1"/>
  <c r="T9" i="3"/>
  <c r="P9" i="3"/>
  <c r="R9" i="3" s="1"/>
  <c r="I9" i="3"/>
  <c r="K9" i="3" s="1"/>
  <c r="H9" i="3"/>
  <c r="P8" i="3"/>
  <c r="R8" i="3" s="1"/>
  <c r="J8" i="3"/>
  <c r="K8" i="3" s="1"/>
  <c r="H8" i="3"/>
  <c r="I8" i="3" s="1"/>
  <c r="P7" i="3"/>
  <c r="R7" i="3" s="1"/>
  <c r="J7" i="3"/>
  <c r="I7" i="3"/>
  <c r="T7" i="3" s="1"/>
  <c r="H7" i="3"/>
  <c r="P6" i="3"/>
  <c r="J6" i="3"/>
  <c r="H6" i="3"/>
  <c r="O68" i="2"/>
  <c r="O67" i="2"/>
  <c r="N67" i="2"/>
  <c r="M67" i="2"/>
  <c r="L67" i="2"/>
  <c r="G67" i="2"/>
  <c r="F67" i="2"/>
  <c r="E67" i="2"/>
  <c r="D67" i="2"/>
  <c r="B67" i="2"/>
  <c r="Q66" i="2"/>
  <c r="P66" i="2"/>
  <c r="R66" i="2" s="1"/>
  <c r="I66" i="2"/>
  <c r="K66" i="2" s="1"/>
  <c r="H66" i="2"/>
  <c r="P65" i="2"/>
  <c r="R65" i="2" s="1"/>
  <c r="I65" i="2"/>
  <c r="H65" i="2"/>
  <c r="P64" i="2"/>
  <c r="R64" i="2" s="1"/>
  <c r="I64" i="2"/>
  <c r="H64" i="2"/>
  <c r="S63" i="2"/>
  <c r="P63" i="2"/>
  <c r="R63" i="2" s="1"/>
  <c r="H63" i="2"/>
  <c r="I63" i="2" s="1"/>
  <c r="K63" i="2" s="1"/>
  <c r="P62" i="2"/>
  <c r="R62" i="2" s="1"/>
  <c r="I62" i="2"/>
  <c r="K62" i="2" s="1"/>
  <c r="H62" i="2"/>
  <c r="P61" i="2"/>
  <c r="R61" i="2" s="1"/>
  <c r="I61" i="2"/>
  <c r="H61" i="2"/>
  <c r="P60" i="2"/>
  <c r="H60" i="2"/>
  <c r="I60" i="2" s="1"/>
  <c r="S60" i="2" s="1"/>
  <c r="S59" i="2"/>
  <c r="R59" i="2"/>
  <c r="K59" i="2"/>
  <c r="J59" i="2"/>
  <c r="I59" i="2"/>
  <c r="H59" i="2"/>
  <c r="S58" i="2"/>
  <c r="R57" i="2"/>
  <c r="Q57" i="2"/>
  <c r="P57" i="2"/>
  <c r="I57" i="2"/>
  <c r="K57" i="2" s="1"/>
  <c r="H57" i="2"/>
  <c r="Q56" i="2"/>
  <c r="R56" i="2" s="1"/>
  <c r="P56" i="2"/>
  <c r="K56" i="2"/>
  <c r="H56" i="2"/>
  <c r="I56" i="2" s="1"/>
  <c r="S56" i="2" s="1"/>
  <c r="Q55" i="2"/>
  <c r="R55" i="2" s="1"/>
  <c r="P55" i="2"/>
  <c r="I55" i="2"/>
  <c r="H55" i="2"/>
  <c r="Q54" i="2"/>
  <c r="P54" i="2"/>
  <c r="R54" i="2" s="1"/>
  <c r="H54" i="2"/>
  <c r="I54" i="2" s="1"/>
  <c r="S54" i="2" s="1"/>
  <c r="R53" i="2"/>
  <c r="P53" i="2"/>
  <c r="H53" i="2"/>
  <c r="I53" i="2" s="1"/>
  <c r="R51" i="2"/>
  <c r="Q51" i="2"/>
  <c r="P51" i="2"/>
  <c r="H51" i="2"/>
  <c r="I51" i="2" s="1"/>
  <c r="Q50" i="2"/>
  <c r="R50" i="2" s="1"/>
  <c r="P50" i="2"/>
  <c r="J50" i="2"/>
  <c r="H50" i="2"/>
  <c r="I50" i="2" s="1"/>
  <c r="K50" i="2" s="1"/>
  <c r="S49" i="2"/>
  <c r="P49" i="2"/>
  <c r="R49" i="2" s="1"/>
  <c r="I49" i="2"/>
  <c r="K49" i="2" s="1"/>
  <c r="H49" i="2"/>
  <c r="Q48" i="2"/>
  <c r="R48" i="2" s="1"/>
  <c r="P48" i="2"/>
  <c r="K48" i="2"/>
  <c r="H48" i="2"/>
  <c r="I48" i="2" s="1"/>
  <c r="S48" i="2" s="1"/>
  <c r="Q47" i="2"/>
  <c r="R47" i="2" s="1"/>
  <c r="P47" i="2"/>
  <c r="J47" i="2"/>
  <c r="K47" i="2" s="1"/>
  <c r="H47" i="2"/>
  <c r="I47" i="2" s="1"/>
  <c r="S47" i="2" s="1"/>
  <c r="C47" i="2"/>
  <c r="Q46" i="2"/>
  <c r="R46" i="2" s="1"/>
  <c r="P46" i="2"/>
  <c r="K46" i="2"/>
  <c r="J46" i="2"/>
  <c r="I46" i="2"/>
  <c r="S46" i="2" s="1"/>
  <c r="H46" i="2"/>
  <c r="Q45" i="2"/>
  <c r="R45" i="2" s="1"/>
  <c r="P45" i="2"/>
  <c r="K45" i="2"/>
  <c r="J45" i="2"/>
  <c r="I45" i="2"/>
  <c r="S45" i="2" s="1"/>
  <c r="H45" i="2"/>
  <c r="C45" i="2"/>
  <c r="Q44" i="2"/>
  <c r="P44" i="2"/>
  <c r="S44" i="2" s="1"/>
  <c r="J44" i="2"/>
  <c r="K44" i="2" s="1"/>
  <c r="I44" i="2"/>
  <c r="H44" i="2"/>
  <c r="R43" i="2"/>
  <c r="Q43" i="2"/>
  <c r="P43" i="2"/>
  <c r="S43" i="2" s="1"/>
  <c r="J43" i="2"/>
  <c r="K43" i="2" s="1"/>
  <c r="I43" i="2"/>
  <c r="H43" i="2"/>
  <c r="R42" i="2"/>
  <c r="Q42" i="2"/>
  <c r="P42" i="2"/>
  <c r="S42" i="2" s="1"/>
  <c r="J42" i="2"/>
  <c r="K42" i="2" s="1"/>
  <c r="I42" i="2"/>
  <c r="H42" i="2"/>
  <c r="Q41" i="2"/>
  <c r="P41" i="2"/>
  <c r="R41" i="2" s="1"/>
  <c r="J41" i="2"/>
  <c r="K41" i="2" s="1"/>
  <c r="I41" i="2"/>
  <c r="H41" i="2"/>
  <c r="R40" i="2"/>
  <c r="P40" i="2"/>
  <c r="K40" i="2"/>
  <c r="J40" i="2"/>
  <c r="I40" i="2"/>
  <c r="S40" i="2" s="1"/>
  <c r="H40" i="2"/>
  <c r="Q39" i="2"/>
  <c r="R39" i="2" s="1"/>
  <c r="P39" i="2"/>
  <c r="K39" i="2"/>
  <c r="J39" i="2"/>
  <c r="I39" i="2"/>
  <c r="S39" i="2" s="1"/>
  <c r="H39" i="2"/>
  <c r="C39" i="2"/>
  <c r="R38" i="2"/>
  <c r="Q38" i="2"/>
  <c r="P38" i="2"/>
  <c r="J38" i="2"/>
  <c r="K38" i="2" s="1"/>
  <c r="I38" i="2"/>
  <c r="S38" i="2" s="1"/>
  <c r="H38" i="2"/>
  <c r="Q37" i="2"/>
  <c r="P37" i="2"/>
  <c r="R37" i="2" s="1"/>
  <c r="J37" i="2"/>
  <c r="K37" i="2" s="1"/>
  <c r="I37" i="2"/>
  <c r="H37" i="2"/>
  <c r="R35" i="2"/>
  <c r="P35" i="2"/>
  <c r="K35" i="2"/>
  <c r="J35" i="2"/>
  <c r="I35" i="2"/>
  <c r="S35" i="2" s="1"/>
  <c r="H35" i="2"/>
  <c r="P34" i="2"/>
  <c r="R34" i="2" s="1"/>
  <c r="J34" i="2"/>
  <c r="K34" i="2" s="1"/>
  <c r="H34" i="2"/>
  <c r="I34" i="2" s="1"/>
  <c r="S34" i="2" s="1"/>
  <c r="P33" i="2"/>
  <c r="R33" i="2" s="1"/>
  <c r="H33" i="2"/>
  <c r="I33" i="2" s="1"/>
  <c r="S33" i="2" s="1"/>
  <c r="R32" i="2"/>
  <c r="P32" i="2"/>
  <c r="J32" i="2"/>
  <c r="I32" i="2"/>
  <c r="S32" i="2" s="1"/>
  <c r="H32" i="2"/>
  <c r="P31" i="2"/>
  <c r="R31" i="2" s="1"/>
  <c r="H31" i="2"/>
  <c r="I31" i="2" s="1"/>
  <c r="K31" i="2" s="1"/>
  <c r="S30" i="2"/>
  <c r="P30" i="2"/>
  <c r="R30" i="2" s="1"/>
  <c r="J30" i="2"/>
  <c r="K30" i="2" s="1"/>
  <c r="I30" i="2"/>
  <c r="H30" i="2"/>
  <c r="R29" i="2"/>
  <c r="P29" i="2"/>
  <c r="K29" i="2"/>
  <c r="J29" i="2"/>
  <c r="I29" i="2"/>
  <c r="S29" i="2" s="1"/>
  <c r="H29" i="2"/>
  <c r="P27" i="2"/>
  <c r="R27" i="2" s="1"/>
  <c r="J27" i="2"/>
  <c r="H27" i="2"/>
  <c r="I27" i="2" s="1"/>
  <c r="S27" i="2" s="1"/>
  <c r="Q26" i="2"/>
  <c r="P26" i="2"/>
  <c r="I26" i="2"/>
  <c r="H26" i="2"/>
  <c r="R25" i="2"/>
  <c r="Q25" i="2"/>
  <c r="P25" i="2"/>
  <c r="K25" i="2"/>
  <c r="H25" i="2"/>
  <c r="I25" i="2" s="1"/>
  <c r="S25" i="2" s="1"/>
  <c r="R24" i="2"/>
  <c r="Q24" i="2"/>
  <c r="P24" i="2"/>
  <c r="J24" i="2"/>
  <c r="H24" i="2"/>
  <c r="I24" i="2" s="1"/>
  <c r="S24" i="2" s="1"/>
  <c r="R23" i="2"/>
  <c r="Q23" i="2"/>
  <c r="P23" i="2"/>
  <c r="J23" i="2"/>
  <c r="K23" i="2" s="1"/>
  <c r="H23" i="2"/>
  <c r="I23" i="2" s="1"/>
  <c r="S23" i="2" s="1"/>
  <c r="R22" i="2"/>
  <c r="Q22" i="2"/>
  <c r="P22" i="2"/>
  <c r="I22" i="2"/>
  <c r="H22" i="2"/>
  <c r="Q21" i="2"/>
  <c r="R21" i="2" s="1"/>
  <c r="P21" i="2"/>
  <c r="J21" i="2"/>
  <c r="H21" i="2"/>
  <c r="C21" i="2"/>
  <c r="C67" i="2" s="1"/>
  <c r="R20" i="2"/>
  <c r="Q20" i="2"/>
  <c r="P20" i="2"/>
  <c r="J20" i="2"/>
  <c r="K20" i="2" s="1"/>
  <c r="H20" i="2"/>
  <c r="I20" i="2" s="1"/>
  <c r="S20" i="2" s="1"/>
  <c r="R19" i="2"/>
  <c r="Q19" i="2"/>
  <c r="P19" i="2"/>
  <c r="J19" i="2"/>
  <c r="K19" i="2" s="1"/>
  <c r="H19" i="2"/>
  <c r="I19" i="2" s="1"/>
  <c r="S19" i="2" s="1"/>
  <c r="R18" i="2"/>
  <c r="Q18" i="2"/>
  <c r="P18" i="2"/>
  <c r="J18" i="2"/>
  <c r="H18" i="2"/>
  <c r="I18" i="2" s="1"/>
  <c r="S18" i="2" s="1"/>
  <c r="R17" i="2"/>
  <c r="Q17" i="2"/>
  <c r="P17" i="2"/>
  <c r="J17" i="2"/>
  <c r="K17" i="2" s="1"/>
  <c r="H17" i="2"/>
  <c r="I17" i="2" s="1"/>
  <c r="S17" i="2" s="1"/>
  <c r="R16" i="2"/>
  <c r="Q16" i="2"/>
  <c r="P16" i="2"/>
  <c r="J16" i="2"/>
  <c r="H16" i="2"/>
  <c r="I16" i="2" s="1"/>
  <c r="S16" i="2" s="1"/>
  <c r="R15" i="2"/>
  <c r="P15" i="2"/>
  <c r="J15" i="2"/>
  <c r="K15" i="2" s="1"/>
  <c r="I15" i="2"/>
  <c r="S15" i="2" s="1"/>
  <c r="H15" i="2"/>
  <c r="P13" i="2"/>
  <c r="R13" i="2" s="1"/>
  <c r="J13" i="2"/>
  <c r="H13" i="2"/>
  <c r="I13" i="2" s="1"/>
  <c r="K13" i="2" s="1"/>
  <c r="R12" i="2"/>
  <c r="P12" i="2"/>
  <c r="J12" i="2"/>
  <c r="H12" i="2"/>
  <c r="I12" i="2" s="1"/>
  <c r="P11" i="2"/>
  <c r="R11" i="2" s="1"/>
  <c r="J11" i="2"/>
  <c r="H11" i="2"/>
  <c r="I11" i="2" s="1"/>
  <c r="S11" i="2" s="1"/>
  <c r="R10" i="2"/>
  <c r="P10" i="2"/>
  <c r="K10" i="2"/>
  <c r="J10" i="2"/>
  <c r="I10" i="2"/>
  <c r="S10" i="2" s="1"/>
  <c r="H10" i="2"/>
  <c r="P9" i="2"/>
  <c r="R9" i="2" s="1"/>
  <c r="I9" i="2"/>
  <c r="H9" i="2"/>
  <c r="P8" i="2"/>
  <c r="R8" i="2" s="1"/>
  <c r="J8" i="2"/>
  <c r="K8" i="2" s="1"/>
  <c r="H8" i="2"/>
  <c r="I8" i="2" s="1"/>
  <c r="S8" i="2" s="1"/>
  <c r="R7" i="2"/>
  <c r="P7" i="2"/>
  <c r="J7" i="2"/>
  <c r="I7" i="2"/>
  <c r="S7" i="2" s="1"/>
  <c r="H7" i="2"/>
  <c r="P6" i="2"/>
  <c r="R6" i="2" s="1"/>
  <c r="J6" i="2"/>
  <c r="H6" i="2"/>
  <c r="O68" i="1"/>
  <c r="O67" i="1"/>
  <c r="N67" i="1"/>
  <c r="M67" i="1"/>
  <c r="G67" i="1"/>
  <c r="D67" i="1"/>
  <c r="Q66" i="1"/>
  <c r="R66" i="1" s="1"/>
  <c r="P66" i="1"/>
  <c r="I66" i="1"/>
  <c r="K66" i="1" s="1"/>
  <c r="H66" i="1"/>
  <c r="Q65" i="1"/>
  <c r="R65" i="1" s="1"/>
  <c r="P65" i="1"/>
  <c r="H65" i="1"/>
  <c r="I65" i="1" s="1"/>
  <c r="R64" i="1"/>
  <c r="P64" i="1"/>
  <c r="H64" i="1"/>
  <c r="I64" i="1" s="1"/>
  <c r="R63" i="1"/>
  <c r="P63" i="1"/>
  <c r="H63" i="1"/>
  <c r="I63" i="1" s="1"/>
  <c r="L62" i="1"/>
  <c r="P62" i="1" s="1"/>
  <c r="R62" i="1" s="1"/>
  <c r="K62" i="1"/>
  <c r="I62" i="1"/>
  <c r="T62" i="1" s="1"/>
  <c r="H62" i="1"/>
  <c r="P61" i="1"/>
  <c r="R61" i="1" s="1"/>
  <c r="I61" i="1"/>
  <c r="T61" i="1" s="1"/>
  <c r="H61" i="1"/>
  <c r="P60" i="1"/>
  <c r="R60" i="1" s="1"/>
  <c r="H60" i="1"/>
  <c r="I60" i="1" s="1"/>
  <c r="R59" i="1"/>
  <c r="P59" i="1"/>
  <c r="H59" i="1"/>
  <c r="I59" i="1" s="1"/>
  <c r="T58" i="1"/>
  <c r="R57" i="1"/>
  <c r="Q57" i="1"/>
  <c r="P57" i="1"/>
  <c r="L57" i="1"/>
  <c r="E57" i="1"/>
  <c r="H57" i="1" s="1"/>
  <c r="I57" i="1" s="1"/>
  <c r="Q56" i="1"/>
  <c r="L56" i="1"/>
  <c r="P56" i="1" s="1"/>
  <c r="R56" i="1" s="1"/>
  <c r="H56" i="1"/>
  <c r="I56" i="1" s="1"/>
  <c r="Q55" i="1"/>
  <c r="L55" i="1"/>
  <c r="P55" i="1" s="1"/>
  <c r="R55" i="1" s="1"/>
  <c r="H55" i="1"/>
  <c r="I55" i="1" s="1"/>
  <c r="R54" i="1"/>
  <c r="P54" i="1"/>
  <c r="H54" i="1"/>
  <c r="I54" i="1" s="1"/>
  <c r="P53" i="1"/>
  <c r="R53" i="1" s="1"/>
  <c r="L53" i="1"/>
  <c r="H53" i="1"/>
  <c r="I53" i="1" s="1"/>
  <c r="P51" i="1"/>
  <c r="R51" i="1" s="1"/>
  <c r="K51" i="1"/>
  <c r="I51" i="1"/>
  <c r="T51" i="1" s="1"/>
  <c r="H51" i="1"/>
  <c r="P50" i="1"/>
  <c r="R50" i="1" s="1"/>
  <c r="J50" i="1"/>
  <c r="K50" i="1" s="1"/>
  <c r="I50" i="1"/>
  <c r="T50" i="1" s="1"/>
  <c r="H50" i="1"/>
  <c r="B50" i="1"/>
  <c r="P49" i="1"/>
  <c r="R49" i="1" s="1"/>
  <c r="H49" i="1"/>
  <c r="I49" i="1" s="1"/>
  <c r="Q48" i="1"/>
  <c r="L48" i="1"/>
  <c r="P48" i="1" s="1"/>
  <c r="R48" i="1" s="1"/>
  <c r="J48" i="1"/>
  <c r="K48" i="1" s="1"/>
  <c r="I48" i="1"/>
  <c r="H48" i="1"/>
  <c r="B48" i="1"/>
  <c r="Q47" i="1"/>
  <c r="L47" i="1"/>
  <c r="P47" i="1" s="1"/>
  <c r="J47" i="1"/>
  <c r="E47" i="1"/>
  <c r="H47" i="1" s="1"/>
  <c r="I47" i="1" s="1"/>
  <c r="B47" i="1"/>
  <c r="P46" i="1"/>
  <c r="R46" i="1" s="1"/>
  <c r="L46" i="1"/>
  <c r="H46" i="1"/>
  <c r="B46" i="1"/>
  <c r="I46" i="1" s="1"/>
  <c r="Q45" i="1"/>
  <c r="R45" i="1" s="1"/>
  <c r="P45" i="1"/>
  <c r="L45" i="1"/>
  <c r="J45" i="1"/>
  <c r="F45" i="1"/>
  <c r="F67" i="1" s="1"/>
  <c r="E45" i="1"/>
  <c r="H45" i="1" s="1"/>
  <c r="C45" i="1"/>
  <c r="B45" i="1"/>
  <c r="Q44" i="1"/>
  <c r="L44" i="1"/>
  <c r="P44" i="1" s="1"/>
  <c r="K44" i="1"/>
  <c r="J44" i="1"/>
  <c r="I44" i="1"/>
  <c r="H44" i="1"/>
  <c r="B44" i="1"/>
  <c r="Q43" i="1"/>
  <c r="R43" i="1" s="1"/>
  <c r="P43" i="1"/>
  <c r="L43" i="1"/>
  <c r="J43" i="1"/>
  <c r="F43" i="1"/>
  <c r="H43" i="1" s="1"/>
  <c r="B43" i="1"/>
  <c r="Q42" i="1"/>
  <c r="L42" i="1"/>
  <c r="P42" i="1" s="1"/>
  <c r="R42" i="1" s="1"/>
  <c r="J42" i="1"/>
  <c r="H42" i="1"/>
  <c r="I42" i="1" s="1"/>
  <c r="F42" i="1"/>
  <c r="E42" i="1"/>
  <c r="B42" i="1"/>
  <c r="Q41" i="1"/>
  <c r="L41" i="1"/>
  <c r="P41" i="1" s="1"/>
  <c r="J41" i="1"/>
  <c r="H41" i="1"/>
  <c r="B41" i="1"/>
  <c r="I41" i="1" s="1"/>
  <c r="Q40" i="1"/>
  <c r="R40" i="1" s="1"/>
  <c r="P40" i="1"/>
  <c r="J40" i="1"/>
  <c r="H40" i="1"/>
  <c r="I40" i="1" s="1"/>
  <c r="P39" i="1"/>
  <c r="R39" i="1" s="1"/>
  <c r="J39" i="1"/>
  <c r="F39" i="1"/>
  <c r="E39" i="1"/>
  <c r="H39" i="1" s="1"/>
  <c r="C39" i="1"/>
  <c r="B39" i="1"/>
  <c r="I39" i="1" s="1"/>
  <c r="R38" i="1"/>
  <c r="P38" i="1"/>
  <c r="H38" i="1"/>
  <c r="I38" i="1" s="1"/>
  <c r="R37" i="1"/>
  <c r="Q37" i="1"/>
  <c r="P37" i="1"/>
  <c r="L37" i="1"/>
  <c r="J37" i="1"/>
  <c r="K37" i="1" s="1"/>
  <c r="H37" i="1"/>
  <c r="B37" i="1"/>
  <c r="I37" i="1" s="1"/>
  <c r="T37" i="1" s="1"/>
  <c r="R35" i="1"/>
  <c r="P35" i="1"/>
  <c r="J35" i="1"/>
  <c r="H35" i="1"/>
  <c r="B35" i="1"/>
  <c r="I35" i="1" s="1"/>
  <c r="T35" i="1" s="1"/>
  <c r="L34" i="1"/>
  <c r="P34" i="1" s="1"/>
  <c r="R34" i="1" s="1"/>
  <c r="H34" i="1"/>
  <c r="B34" i="1"/>
  <c r="I34" i="1" s="1"/>
  <c r="R33" i="1"/>
  <c r="P33" i="1"/>
  <c r="H33" i="1"/>
  <c r="I33" i="1" s="1"/>
  <c r="R32" i="1"/>
  <c r="P32" i="1"/>
  <c r="H32" i="1"/>
  <c r="I32" i="1" s="1"/>
  <c r="P31" i="1"/>
  <c r="R31" i="1" s="1"/>
  <c r="K31" i="1"/>
  <c r="I31" i="1"/>
  <c r="T31" i="1" s="1"/>
  <c r="H31" i="1"/>
  <c r="P30" i="1"/>
  <c r="R30" i="1" s="1"/>
  <c r="H30" i="1"/>
  <c r="I30" i="1" s="1"/>
  <c r="R29" i="1"/>
  <c r="P29" i="1"/>
  <c r="H29" i="1"/>
  <c r="I29" i="1" s="1"/>
  <c r="R27" i="1"/>
  <c r="P27" i="1"/>
  <c r="H27" i="1"/>
  <c r="I27" i="1" s="1"/>
  <c r="Q26" i="1"/>
  <c r="R26" i="1" s="1"/>
  <c r="P26" i="1"/>
  <c r="L26" i="1"/>
  <c r="H26" i="1"/>
  <c r="I26" i="1" s="1"/>
  <c r="Q25" i="1"/>
  <c r="R25" i="1" s="1"/>
  <c r="P25" i="1"/>
  <c r="L25" i="1"/>
  <c r="H25" i="1"/>
  <c r="I25" i="1" s="1"/>
  <c r="P24" i="1"/>
  <c r="R24" i="1" s="1"/>
  <c r="K24" i="1"/>
  <c r="I24" i="1"/>
  <c r="T24" i="1" s="1"/>
  <c r="H24" i="1"/>
  <c r="Q23" i="1"/>
  <c r="R23" i="1" s="1"/>
  <c r="L23" i="1"/>
  <c r="P23" i="1" s="1"/>
  <c r="J23" i="1"/>
  <c r="E23" i="1"/>
  <c r="H23" i="1" s="1"/>
  <c r="C23" i="1"/>
  <c r="C67" i="1" s="1"/>
  <c r="B23" i="1"/>
  <c r="R22" i="1"/>
  <c r="P22" i="1"/>
  <c r="H22" i="1"/>
  <c r="I22" i="1" s="1"/>
  <c r="Q21" i="1"/>
  <c r="R21" i="1" s="1"/>
  <c r="P21" i="1"/>
  <c r="L21" i="1"/>
  <c r="J21" i="1"/>
  <c r="E21" i="1"/>
  <c r="H21" i="1" s="1"/>
  <c r="B21" i="1"/>
  <c r="I21" i="1" s="1"/>
  <c r="R20" i="1"/>
  <c r="P20" i="1"/>
  <c r="L20" i="1"/>
  <c r="H20" i="1"/>
  <c r="I20" i="1" s="1"/>
  <c r="R19" i="1"/>
  <c r="P19" i="1"/>
  <c r="H19" i="1"/>
  <c r="B19" i="1"/>
  <c r="I19" i="1" s="1"/>
  <c r="P18" i="1"/>
  <c r="R18" i="1" s="1"/>
  <c r="K18" i="1"/>
  <c r="I18" i="1"/>
  <c r="T18" i="1" s="1"/>
  <c r="H18" i="1"/>
  <c r="P17" i="1"/>
  <c r="R17" i="1" s="1"/>
  <c r="I17" i="1"/>
  <c r="T17" i="1" s="1"/>
  <c r="H17" i="1"/>
  <c r="Q16" i="1"/>
  <c r="L16" i="1"/>
  <c r="J16" i="1"/>
  <c r="K16" i="1" s="1"/>
  <c r="I16" i="1"/>
  <c r="H16" i="1"/>
  <c r="E16" i="1"/>
  <c r="B16" i="1"/>
  <c r="P15" i="1"/>
  <c r="R15" i="1" s="1"/>
  <c r="K15" i="1"/>
  <c r="J15" i="1"/>
  <c r="I15" i="1"/>
  <c r="T15" i="1" s="1"/>
  <c r="H15" i="1"/>
  <c r="B15" i="1"/>
  <c r="P13" i="1"/>
  <c r="R13" i="1" s="1"/>
  <c r="K13" i="1"/>
  <c r="I13" i="1"/>
  <c r="T13" i="1" s="1"/>
  <c r="H13" i="1"/>
  <c r="P12" i="1"/>
  <c r="R12" i="1" s="1"/>
  <c r="H12" i="1"/>
  <c r="I12" i="1" s="1"/>
  <c r="B12" i="1"/>
  <c r="P11" i="1"/>
  <c r="R11" i="1" s="1"/>
  <c r="J11" i="1"/>
  <c r="K11" i="1" s="1"/>
  <c r="H11" i="1"/>
  <c r="I11" i="1" s="1"/>
  <c r="T11" i="1" s="1"/>
  <c r="B11" i="1"/>
  <c r="P10" i="1"/>
  <c r="R10" i="1" s="1"/>
  <c r="H10" i="1"/>
  <c r="B10" i="1"/>
  <c r="I10" i="1" s="1"/>
  <c r="R9" i="1"/>
  <c r="P9" i="1"/>
  <c r="H9" i="1"/>
  <c r="I9" i="1" s="1"/>
  <c r="R8" i="1"/>
  <c r="P8" i="1"/>
  <c r="J8" i="1"/>
  <c r="H8" i="1"/>
  <c r="B8" i="1"/>
  <c r="I8" i="1" s="1"/>
  <c r="R7" i="1"/>
  <c r="P7" i="1"/>
  <c r="J7" i="1"/>
  <c r="H7" i="1"/>
  <c r="B7" i="1"/>
  <c r="I7" i="1" s="1"/>
  <c r="R6" i="1"/>
  <c r="P6" i="1"/>
  <c r="J6" i="1"/>
  <c r="J67" i="1" s="1"/>
  <c r="H6" i="1"/>
  <c r="B6" i="1"/>
  <c r="B67" i="1" s="1"/>
  <c r="K9" i="1" l="1"/>
  <c r="T9" i="1"/>
  <c r="H67" i="1"/>
  <c r="K34" i="1"/>
  <c r="T34" i="1"/>
  <c r="T40" i="1"/>
  <c r="K40" i="1"/>
  <c r="R41" i="1"/>
  <c r="I43" i="1"/>
  <c r="T44" i="1"/>
  <c r="T48" i="1"/>
  <c r="K56" i="1"/>
  <c r="T56" i="1"/>
  <c r="K64" i="1"/>
  <c r="T64" i="1"/>
  <c r="T27" i="1"/>
  <c r="K27" i="1"/>
  <c r="K20" i="1"/>
  <c r="T20" i="1"/>
  <c r="K38" i="1"/>
  <c r="T38" i="1"/>
  <c r="T53" i="1"/>
  <c r="K53" i="1"/>
  <c r="T8" i="1"/>
  <c r="K8" i="1"/>
  <c r="K10" i="1"/>
  <c r="T10" i="1"/>
  <c r="T12" i="1"/>
  <c r="K12" i="1"/>
  <c r="T22" i="1"/>
  <c r="K22" i="1"/>
  <c r="K29" i="1"/>
  <c r="T29" i="1"/>
  <c r="K59" i="1"/>
  <c r="T59" i="1"/>
  <c r="T26" i="1"/>
  <c r="K26" i="1"/>
  <c r="T32" i="1"/>
  <c r="K32" i="1"/>
  <c r="T39" i="1"/>
  <c r="K39" i="1"/>
  <c r="T47" i="1"/>
  <c r="K47" i="1"/>
  <c r="K54" i="1"/>
  <c r="T54" i="1"/>
  <c r="T21" i="1"/>
  <c r="K21" i="1"/>
  <c r="K57" i="1"/>
  <c r="T57" i="1"/>
  <c r="K65" i="1"/>
  <c r="T65" i="1"/>
  <c r="T7" i="1"/>
  <c r="K7" i="1"/>
  <c r="I23" i="1"/>
  <c r="T30" i="1"/>
  <c r="K30" i="1"/>
  <c r="T41" i="1"/>
  <c r="K41" i="1"/>
  <c r="T42" i="1"/>
  <c r="R44" i="1"/>
  <c r="T49" i="1"/>
  <c r="K49" i="1"/>
  <c r="K60" i="1"/>
  <c r="T60" i="1"/>
  <c r="T16" i="3"/>
  <c r="K16" i="3"/>
  <c r="T25" i="1"/>
  <c r="K25" i="1"/>
  <c r="T19" i="1"/>
  <c r="K19" i="1"/>
  <c r="K33" i="1"/>
  <c r="T33" i="1"/>
  <c r="K35" i="1"/>
  <c r="K42" i="1"/>
  <c r="I45" i="1"/>
  <c r="T45" i="1" s="1"/>
  <c r="T46" i="1"/>
  <c r="K46" i="1"/>
  <c r="R47" i="1"/>
  <c r="K55" i="1"/>
  <c r="T55" i="1"/>
  <c r="T63" i="1"/>
  <c r="K63" i="1"/>
  <c r="K17" i="1"/>
  <c r="S41" i="2"/>
  <c r="S61" i="2"/>
  <c r="K61" i="2"/>
  <c r="H67" i="3"/>
  <c r="I6" i="3"/>
  <c r="T8" i="3"/>
  <c r="K43" i="3"/>
  <c r="T43" i="3"/>
  <c r="U22" i="4"/>
  <c r="L22" i="4"/>
  <c r="T38" i="5"/>
  <c r="K38" i="5"/>
  <c r="S64" i="2"/>
  <c r="K64" i="2"/>
  <c r="P67" i="1"/>
  <c r="S26" i="2"/>
  <c r="K26" i="2"/>
  <c r="J67" i="3"/>
  <c r="T17" i="6"/>
  <c r="K17" i="6"/>
  <c r="T33" i="6"/>
  <c r="K33" i="6"/>
  <c r="S55" i="2"/>
  <c r="K55" i="2"/>
  <c r="T26" i="3"/>
  <c r="R26" i="3"/>
  <c r="T56" i="5"/>
  <c r="K56" i="5"/>
  <c r="K61" i="1"/>
  <c r="S9" i="2"/>
  <c r="K9" i="2"/>
  <c r="R26" i="2"/>
  <c r="R67" i="2" s="1"/>
  <c r="K33" i="2"/>
  <c r="T31" i="3"/>
  <c r="K31" i="3"/>
  <c r="K42" i="3"/>
  <c r="T42" i="3"/>
  <c r="S67" i="4"/>
  <c r="U41" i="4"/>
  <c r="L41" i="4"/>
  <c r="T30" i="5"/>
  <c r="K30" i="5"/>
  <c r="K9" i="6"/>
  <c r="T12" i="6"/>
  <c r="K12" i="6"/>
  <c r="K43" i="6"/>
  <c r="T64" i="6"/>
  <c r="K64" i="6"/>
  <c r="E67" i="1"/>
  <c r="E68" i="1" s="1"/>
  <c r="I69" i="1" s="1"/>
  <c r="T47" i="6"/>
  <c r="K47" i="6"/>
  <c r="L67" i="1"/>
  <c r="K7" i="2"/>
  <c r="K11" i="2"/>
  <c r="S31" i="2"/>
  <c r="T25" i="3"/>
  <c r="K25" i="3"/>
  <c r="T35" i="3"/>
  <c r="K35" i="3"/>
  <c r="K44" i="3"/>
  <c r="T44" i="3"/>
  <c r="T27" i="6"/>
  <c r="K27" i="6"/>
  <c r="S53" i="2"/>
  <c r="K53" i="2"/>
  <c r="P16" i="1"/>
  <c r="T16" i="1" s="1"/>
  <c r="K16" i="2"/>
  <c r="S22" i="2"/>
  <c r="K22" i="2"/>
  <c r="K27" i="2"/>
  <c r="S50" i="2"/>
  <c r="S62" i="2"/>
  <c r="S65" i="2"/>
  <c r="K65" i="2"/>
  <c r="K13" i="3"/>
  <c r="K17" i="3"/>
  <c r="L17" i="4"/>
  <c r="U25" i="4"/>
  <c r="L25" i="4"/>
  <c r="U38" i="4"/>
  <c r="L38" i="4"/>
  <c r="U55" i="4"/>
  <c r="L55" i="4"/>
  <c r="U65" i="4"/>
  <c r="L65" i="4"/>
  <c r="H67" i="5"/>
  <c r="R67" i="5"/>
  <c r="T62" i="5"/>
  <c r="K62" i="5"/>
  <c r="T16" i="6"/>
  <c r="K16" i="6"/>
  <c r="T31" i="6"/>
  <c r="K31" i="6"/>
  <c r="T48" i="6"/>
  <c r="K48" i="6"/>
  <c r="K61" i="6"/>
  <c r="I6" i="1"/>
  <c r="Q67" i="1"/>
  <c r="I6" i="2"/>
  <c r="H67" i="2"/>
  <c r="S13" i="2"/>
  <c r="R44" i="2"/>
  <c r="K51" i="2"/>
  <c r="S51" i="2"/>
  <c r="K54" i="2"/>
  <c r="E68" i="2"/>
  <c r="I69" i="2" s="1"/>
  <c r="Q67" i="2"/>
  <c r="K7" i="3"/>
  <c r="T23" i="3"/>
  <c r="T30" i="3"/>
  <c r="K30" i="3"/>
  <c r="T62" i="3"/>
  <c r="K62" i="3"/>
  <c r="T64" i="3"/>
  <c r="R64" i="3"/>
  <c r="U33" i="4"/>
  <c r="L33" i="4"/>
  <c r="T53" i="5"/>
  <c r="K53" i="5"/>
  <c r="R16" i="1"/>
  <c r="R67" i="1" s="1"/>
  <c r="K6" i="2"/>
  <c r="K12" i="2"/>
  <c r="S12" i="2"/>
  <c r="K18" i="2"/>
  <c r="I21" i="2"/>
  <c r="S21" i="2" s="1"/>
  <c r="K24" i="2"/>
  <c r="K32" i="2"/>
  <c r="S37" i="2"/>
  <c r="K10" i="3"/>
  <c r="T10" i="3"/>
  <c r="T18" i="3"/>
  <c r="T34" i="3"/>
  <c r="K34" i="3"/>
  <c r="K54" i="3"/>
  <c r="T54" i="3"/>
  <c r="T56" i="3"/>
  <c r="K56" i="3"/>
  <c r="U12" i="4"/>
  <c r="L12" i="4"/>
  <c r="L42" i="4"/>
  <c r="J67" i="5"/>
  <c r="T29" i="6"/>
  <c r="K29" i="6"/>
  <c r="T42" i="6"/>
  <c r="K42" i="6"/>
  <c r="T46" i="6"/>
  <c r="K46" i="6"/>
  <c r="T57" i="6"/>
  <c r="K57" i="6"/>
  <c r="P67" i="2"/>
  <c r="T57" i="3"/>
  <c r="L51" i="4"/>
  <c r="I67" i="5"/>
  <c r="T67" i="5" s="1"/>
  <c r="T6" i="5"/>
  <c r="I67" i="6"/>
  <c r="T67" i="6" s="1"/>
  <c r="K19" i="6"/>
  <c r="U30" i="4"/>
  <c r="L30" i="4"/>
  <c r="L59" i="4"/>
  <c r="T9" i="5"/>
  <c r="K9" i="5"/>
  <c r="J67" i="6"/>
  <c r="T38" i="6"/>
  <c r="K38" i="6"/>
  <c r="K50" i="6"/>
  <c r="S57" i="2"/>
  <c r="J67" i="2"/>
  <c r="K48" i="3"/>
  <c r="K63" i="3"/>
  <c r="U11" i="4"/>
  <c r="L11" i="4"/>
  <c r="I21" i="4"/>
  <c r="J21" i="4" s="1"/>
  <c r="E68" i="4"/>
  <c r="J69" i="4" s="1"/>
  <c r="K6" i="5"/>
  <c r="Q67" i="5"/>
  <c r="K6" i="6"/>
  <c r="K23" i="6"/>
  <c r="K62" i="6"/>
  <c r="P67" i="3"/>
  <c r="Q67" i="3"/>
  <c r="I47" i="3"/>
  <c r="R57" i="3"/>
  <c r="L16" i="4"/>
  <c r="I20" i="4"/>
  <c r="J20" i="4" s="1"/>
  <c r="J67" i="4" s="1"/>
  <c r="U67" i="4" s="1"/>
  <c r="L50" i="4"/>
  <c r="R16" i="5"/>
  <c r="K45" i="5"/>
  <c r="K25" i="6"/>
  <c r="R6" i="3"/>
  <c r="R16" i="3"/>
  <c r="K40" i="3"/>
  <c r="K46" i="3"/>
  <c r="L37" i="4"/>
  <c r="L53" i="4"/>
  <c r="U57" i="4"/>
  <c r="L57" i="4"/>
  <c r="R67" i="4"/>
  <c r="T25" i="5"/>
  <c r="K25" i="5"/>
  <c r="K31" i="5"/>
  <c r="T51" i="5"/>
  <c r="K51" i="5"/>
  <c r="R67" i="6"/>
  <c r="T8" i="6"/>
  <c r="K8" i="6"/>
  <c r="K32" i="6"/>
  <c r="K49" i="6"/>
  <c r="T56" i="6"/>
  <c r="K56" i="6"/>
  <c r="K29" i="3"/>
  <c r="L6" i="4"/>
  <c r="U64" i="4"/>
  <c r="L64" i="4"/>
  <c r="T6" i="6"/>
  <c r="K20" i="6"/>
  <c r="T63" i="6"/>
  <c r="K63" i="6"/>
  <c r="K20" i="3"/>
  <c r="K38" i="3"/>
  <c r="K39" i="3"/>
  <c r="T41" i="3"/>
  <c r="K45" i="3"/>
  <c r="T53" i="3"/>
  <c r="T59" i="3"/>
  <c r="L8" i="4"/>
  <c r="L15" i="4"/>
  <c r="L47" i="4"/>
  <c r="L62" i="4"/>
  <c r="K67" i="4"/>
  <c r="T13" i="5"/>
  <c r="K13" i="5"/>
  <c r="T54" i="5"/>
  <c r="K54" i="6"/>
  <c r="E68" i="6"/>
  <c r="I69" i="6" s="1"/>
  <c r="H67" i="6"/>
  <c r="K67" i="5" l="1"/>
  <c r="K21" i="2"/>
  <c r="K67" i="2" s="1"/>
  <c r="T23" i="1"/>
  <c r="K23" i="1"/>
  <c r="I67" i="4"/>
  <c r="R67" i="3"/>
  <c r="T47" i="3"/>
  <c r="K47" i="3"/>
  <c r="U21" i="4"/>
  <c r="L21" i="4"/>
  <c r="L67" i="4" s="1"/>
  <c r="I67" i="2"/>
  <c r="S67" i="2" s="1"/>
  <c r="S6" i="2"/>
  <c r="I67" i="3"/>
  <c r="T67" i="3" s="1"/>
  <c r="T6" i="3"/>
  <c r="I67" i="1"/>
  <c r="T67" i="1" s="1"/>
  <c r="T6" i="1"/>
  <c r="K6" i="1"/>
  <c r="K45" i="1"/>
  <c r="L20" i="4"/>
  <c r="U20" i="4"/>
  <c r="K67" i="6"/>
  <c r="T43" i="1"/>
  <c r="K43" i="1"/>
  <c r="K6" i="3"/>
  <c r="K67" i="3" s="1"/>
  <c r="K67" i="1" l="1"/>
</calcChain>
</file>

<file path=xl/sharedStrings.xml><?xml version="1.0" encoding="utf-8"?>
<sst xmlns="http://schemas.openxmlformats.org/spreadsheetml/2006/main" count="544" uniqueCount="77">
  <si>
    <t>SKU'S</t>
  </si>
  <si>
    <t>BEGINNING</t>
  </si>
  <si>
    <t>OFFLINE STOCKS MONITORING</t>
  </si>
  <si>
    <t>ONLINE STOCKS MONITORING</t>
  </si>
  <si>
    <t>CONSOLIDATED FINAL STOCKS</t>
  </si>
  <si>
    <t>MAIN ACCOUNTS/SALES AGENTS</t>
  </si>
  <si>
    <t>ONLINE PLATFORMS</t>
  </si>
  <si>
    <r>
      <rPr>
        <b/>
        <sz val="20"/>
        <color theme="1"/>
        <rFont val="Calibri"/>
      </rPr>
      <t xml:space="preserve">IN </t>
    </r>
    <r>
      <rPr>
        <b/>
        <sz val="14"/>
        <color rgb="FFFF0000"/>
        <rFont val="Calibri"/>
      </rPr>
      <t>(FROM PROD)</t>
    </r>
  </si>
  <si>
    <t>FROM BACKLOADS</t>
  </si>
  <si>
    <t>LADY</t>
  </si>
  <si>
    <t>MC</t>
  </si>
  <si>
    <t>GERALD</t>
  </si>
  <si>
    <t>TOTAL OUT PER PRODUCT</t>
  </si>
  <si>
    <t>ENDING FINAL STOCKS</t>
  </si>
  <si>
    <t>MANUAL COUNT</t>
  </si>
  <si>
    <t>VARIANCES</t>
  </si>
  <si>
    <r>
      <rPr>
        <b/>
        <sz val="20"/>
        <color theme="1"/>
        <rFont val="Calibri"/>
      </rPr>
      <t xml:space="preserve">IN </t>
    </r>
    <r>
      <rPr>
        <b/>
        <sz val="14"/>
        <color rgb="FFFF0000"/>
        <rFont val="Calibri"/>
      </rPr>
      <t>(FROM PROD)</t>
    </r>
  </si>
  <si>
    <t>FROM RTS</t>
  </si>
  <si>
    <t>FULLFILMENT</t>
  </si>
  <si>
    <t>PREMIUM (350 ML)</t>
  </si>
  <si>
    <t>SPECIAL</t>
  </si>
  <si>
    <t>FISH SAUCE</t>
  </si>
  <si>
    <t>CANE VINEGAR WHITE</t>
  </si>
  <si>
    <t>CANE VINEGAR RED</t>
  </si>
  <si>
    <t>TOYO MANSI</t>
  </si>
  <si>
    <t>LIQUID SEASONING</t>
  </si>
  <si>
    <t>PREMIUM BLACK FOR GUISADO</t>
  </si>
  <si>
    <t>SUKANG MALIGALIG</t>
  </si>
  <si>
    <t>CLASS A -(LITER)</t>
  </si>
  <si>
    <t>SWEET A</t>
  </si>
  <si>
    <t>SPECIAL A</t>
  </si>
  <si>
    <t>MORE SWEET A</t>
  </si>
  <si>
    <t>DARK SOYSAUCE A</t>
  </si>
  <si>
    <t>FISH SAUCE A</t>
  </si>
  <si>
    <t>CANE VINEGAR WHITE A</t>
  </si>
  <si>
    <t>OYSTER SAUCE A</t>
  </si>
  <si>
    <t>OYSTER SAUCE DARK A</t>
  </si>
  <si>
    <t>CATSUP A</t>
  </si>
  <si>
    <t>CATSUP FOR BURGER</t>
  </si>
  <si>
    <t>JAMPONG CHILI HOT SAUCE</t>
  </si>
  <si>
    <t>PALM OIL</t>
  </si>
  <si>
    <t>PREMIUM (LITER)</t>
  </si>
  <si>
    <t>PATIS PURO</t>
  </si>
  <si>
    <t>CLASS A (GALLON)</t>
  </si>
  <si>
    <t>SWEET CHAMI</t>
  </si>
  <si>
    <t>PREMIUM ( 3.785 LITERS P.E.T)</t>
  </si>
  <si>
    <t>Other PRODUCTS</t>
  </si>
  <si>
    <t>SUKANG MALIGALIG 750ML</t>
  </si>
  <si>
    <t>CASSAVA</t>
  </si>
  <si>
    <t>RETAIL SALT</t>
  </si>
  <si>
    <t>DISTILLED CANE VINEGAR WHITE</t>
  </si>
  <si>
    <t>GROUND/BLACK PEPPER</t>
  </si>
  <si>
    <t>ONION POWDER</t>
  </si>
  <si>
    <t>CHILI POWDER</t>
  </si>
  <si>
    <t>NSC TOYOMANSI</t>
  </si>
  <si>
    <t>TOTAL OUT PRODUCTS:</t>
  </si>
  <si>
    <t>TOTAL OUT PRODUCTS</t>
  </si>
  <si>
    <t>OFFLINE &amp; ONLINE</t>
  </si>
  <si>
    <t>NAGKABALIKTAD YUNG MANUAL COUNT NG DARK OYSTER LITER AND DARK OYSTER GALLON</t>
  </si>
  <si>
    <r>
      <rPr>
        <b/>
        <sz val="20"/>
        <color theme="1"/>
        <rFont val="Calibri"/>
      </rPr>
      <t xml:space="preserve">IN </t>
    </r>
    <r>
      <rPr>
        <b/>
        <sz val="14"/>
        <color rgb="FFFF0000"/>
        <rFont val="Calibri"/>
      </rPr>
      <t>(FROM PROD)</t>
    </r>
  </si>
  <si>
    <r>
      <rPr>
        <b/>
        <sz val="20"/>
        <color theme="1"/>
        <rFont val="Calibri"/>
      </rPr>
      <t xml:space="preserve">IN </t>
    </r>
    <r>
      <rPr>
        <b/>
        <sz val="14"/>
        <color rgb="FFFF0000"/>
        <rFont val="Calibri"/>
      </rPr>
      <t>(FROM PROD)</t>
    </r>
  </si>
  <si>
    <t>MORE SWEET CONTAINER</t>
  </si>
  <si>
    <t>VARIANCE: 31</t>
  </si>
  <si>
    <t>MORE SWEET CONTAINER  - 2</t>
  </si>
  <si>
    <t>OYSTER SAUCE LITER- 156 yung prod report pero 158 yung nakasulat sa fullfilment</t>
  </si>
  <si>
    <r>
      <rPr>
        <b/>
        <sz val="20"/>
        <color theme="1"/>
        <rFont val="Calibri"/>
      </rPr>
      <t xml:space="preserve">IN </t>
    </r>
    <r>
      <rPr>
        <b/>
        <sz val="14"/>
        <color rgb="FFFF0000"/>
        <rFont val="Calibri"/>
      </rPr>
      <t>(FROM PROD)</t>
    </r>
  </si>
  <si>
    <r>
      <rPr>
        <b/>
        <sz val="20"/>
        <color theme="1"/>
        <rFont val="Calibri"/>
      </rPr>
      <t xml:space="preserve">IN </t>
    </r>
    <r>
      <rPr>
        <b/>
        <sz val="14"/>
        <color rgb="FFFF0000"/>
        <rFont val="Calibri"/>
      </rPr>
      <t>(FROM PROD)</t>
    </r>
  </si>
  <si>
    <t>VARIANCE:11</t>
  </si>
  <si>
    <r>
      <rPr>
        <b/>
        <sz val="20"/>
        <color theme="1"/>
        <rFont val="Calibri"/>
      </rPr>
      <t xml:space="preserve">IN </t>
    </r>
    <r>
      <rPr>
        <b/>
        <sz val="14"/>
        <color rgb="FFFF0000"/>
        <rFont val="Calibri"/>
      </rPr>
      <t>(FROM PROD)</t>
    </r>
  </si>
  <si>
    <t>DARELL</t>
  </si>
  <si>
    <r>
      <rPr>
        <b/>
        <sz val="20"/>
        <color theme="1"/>
        <rFont val="Calibri"/>
      </rPr>
      <t xml:space="preserve">IN </t>
    </r>
    <r>
      <rPr>
        <b/>
        <sz val="14"/>
        <color rgb="FFFF0000"/>
        <rFont val="Calibri"/>
      </rPr>
      <t>(FROM PROD)</t>
    </r>
  </si>
  <si>
    <t>VARIANCE: 107</t>
  </si>
  <si>
    <r>
      <rPr>
        <b/>
        <sz val="20"/>
        <color theme="1"/>
        <rFont val="Calibri"/>
      </rPr>
      <t xml:space="preserve">IN </t>
    </r>
    <r>
      <rPr>
        <b/>
        <sz val="14"/>
        <color rgb="FFFF0000"/>
        <rFont val="Calibri"/>
      </rPr>
      <t>(FROM PROD)</t>
    </r>
  </si>
  <si>
    <r>
      <rPr>
        <b/>
        <sz val="20"/>
        <color theme="1"/>
        <rFont val="Calibri"/>
      </rPr>
      <t xml:space="preserve">IN </t>
    </r>
    <r>
      <rPr>
        <b/>
        <sz val="14"/>
        <color rgb="FFFF0000"/>
        <rFont val="Calibri"/>
      </rPr>
      <t>(FROM PROD)</t>
    </r>
  </si>
  <si>
    <t>VARIANCE:</t>
  </si>
  <si>
    <r>
      <rPr>
        <b/>
        <sz val="20"/>
        <color theme="1"/>
        <rFont val="Calibri"/>
      </rPr>
      <t xml:space="preserve">IN </t>
    </r>
    <r>
      <rPr>
        <b/>
        <sz val="14"/>
        <color rgb="FFFF0000"/>
        <rFont val="Calibri"/>
      </rPr>
      <t>(FROM PROD)</t>
    </r>
  </si>
  <si>
    <r>
      <rPr>
        <b/>
        <sz val="20"/>
        <color theme="1"/>
        <rFont val="Calibri"/>
      </rPr>
      <t xml:space="preserve">IN </t>
    </r>
    <r>
      <rPr>
        <b/>
        <sz val="14"/>
        <color rgb="FFFF0000"/>
        <rFont val="Calibri"/>
      </rPr>
      <t>(FROM PROD)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</si>
</sst>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 yyyy"/>
  </numFmts>
  <fonts count="28" x14ac:knownFonts="1">
    <font>
      <sz val="11"/>
      <color theme="1"/>
      <name val="Calibri"/>
      <scheme val="minor"/>
    </font>
    <font>
      <b/>
      <sz val="20"/>
      <color rgb="FFFF0000"/>
      <name val="Calibri"/>
    </font>
    <font>
      <sz val="11"/>
      <name val="Calibri"/>
    </font>
    <font>
      <b/>
      <sz val="20"/>
      <color theme="1"/>
      <name val="Calibri"/>
    </font>
    <font>
      <b/>
      <sz val="18"/>
      <color rgb="FFFF0000"/>
      <name val="Calibri"/>
    </font>
    <font>
      <b/>
      <sz val="16"/>
      <color rgb="FFFF0000"/>
      <name val="Calibri"/>
    </font>
    <font>
      <sz val="11"/>
      <color theme="1"/>
      <name val="Calibri"/>
      <scheme val="minor"/>
    </font>
    <font>
      <b/>
      <i/>
      <sz val="15"/>
      <color rgb="FFFF0000"/>
      <name val="Calibri"/>
    </font>
    <font>
      <b/>
      <i/>
      <sz val="12"/>
      <color theme="1"/>
      <name val="Calibri"/>
    </font>
    <font>
      <b/>
      <sz val="14"/>
      <color rgb="FFFF0000"/>
      <name val="Calibri"/>
    </font>
    <font>
      <b/>
      <sz val="12"/>
      <color theme="1"/>
      <name val="Calibri"/>
    </font>
    <font>
      <b/>
      <i/>
      <sz val="8"/>
      <color rgb="FFFF0000"/>
      <name val="Calibri"/>
    </font>
    <font>
      <b/>
      <i/>
      <sz val="9"/>
      <color rgb="FFFF0000"/>
      <name val="Calibri"/>
    </font>
    <font>
      <b/>
      <sz val="17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4"/>
      <color theme="1"/>
      <name val="Calibri"/>
    </font>
    <font>
      <b/>
      <i/>
      <sz val="14"/>
      <color theme="1"/>
      <name val="Calibri"/>
    </font>
    <font>
      <b/>
      <sz val="16"/>
      <color theme="1"/>
      <name val="Calibri"/>
    </font>
    <font>
      <b/>
      <i/>
      <sz val="16"/>
      <color rgb="FFFF0000"/>
      <name val="Calibri"/>
    </font>
    <font>
      <b/>
      <sz val="13"/>
      <color theme="1"/>
      <name val="Calibri"/>
    </font>
    <font>
      <b/>
      <sz val="24"/>
      <color rgb="FFFF0000"/>
      <name val="Calibri"/>
    </font>
    <font>
      <b/>
      <sz val="14"/>
      <color rgb="FF000000"/>
      <name val="Calibri"/>
    </font>
    <font>
      <b/>
      <i/>
      <sz val="26"/>
      <color rgb="FFFF0000"/>
      <name val="Calibri"/>
    </font>
    <font>
      <b/>
      <sz val="11"/>
      <color rgb="FFFF0000"/>
      <name val="Calibri"/>
    </font>
    <font>
      <b/>
      <sz val="22"/>
      <color rgb="FFFF0000"/>
      <name val="Calibri"/>
    </font>
    <font>
      <b/>
      <sz val="26"/>
      <color rgb="FFFF0000"/>
      <name val="Calibri"/>
    </font>
    <font>
      <b/>
      <i/>
      <sz val="14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  <fill>
      <patternFill patternType="solid">
        <fgColor rgb="FFE2EFD9"/>
        <bgColor rgb="FFE2EFD9"/>
      </patternFill>
    </fill>
    <fill>
      <patternFill patternType="solid">
        <fgColor rgb="FFFFD965"/>
        <bgColor rgb="FFFFD965"/>
      </patternFill>
    </fill>
    <fill>
      <patternFill patternType="solid">
        <fgColor rgb="FFD6DCE4"/>
        <bgColor rgb="FFD6DCE4"/>
      </patternFill>
    </fill>
    <fill>
      <patternFill patternType="solid">
        <fgColor rgb="FFBFBFBF"/>
        <bgColor rgb="FFBFBFBF"/>
      </patternFill>
    </fill>
    <fill>
      <patternFill patternType="solid">
        <fgColor rgb="FFFFE599"/>
        <bgColor rgb="FFFFE599"/>
      </patternFill>
    </fill>
    <fill>
      <patternFill patternType="solid">
        <fgColor rgb="FF6FA8DC"/>
        <bgColor rgb="FF6FA8DC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</fills>
  <borders count="3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4">
    <xf numFmtId="0" fontId="0" fillId="0" borderId="0" xfId="0" applyFont="1" applyAlignment="1"/>
    <xf numFmtId="0" fontId="3" fillId="5" borderId="9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6" fillId="0" borderId="12" xfId="0" applyFont="1" applyBorder="1"/>
    <xf numFmtId="0" fontId="3" fillId="3" borderId="9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center"/>
    </xf>
    <xf numFmtId="0" fontId="13" fillId="0" borderId="12" xfId="0" applyFont="1" applyBorder="1"/>
    <xf numFmtId="0" fontId="13" fillId="0" borderId="12" xfId="0" applyFont="1" applyBorder="1" applyAlignment="1">
      <alignment horizontal="center"/>
    </xf>
    <xf numFmtId="0" fontId="3" fillId="5" borderId="21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14" fillId="6" borderId="9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15" fillId="2" borderId="22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right"/>
    </xf>
    <xf numFmtId="0" fontId="15" fillId="2" borderId="12" xfId="0" applyFont="1" applyFill="1" applyBorder="1" applyAlignment="1"/>
    <xf numFmtId="0" fontId="16" fillId="2" borderId="22" xfId="0" applyFont="1" applyFill="1" applyBorder="1" applyAlignment="1">
      <alignment horizontal="center"/>
    </xf>
    <xf numFmtId="0" fontId="16" fillId="2" borderId="24" xfId="0" applyFont="1" applyFill="1" applyBorder="1" applyAlignment="1">
      <alignment horizontal="center"/>
    </xf>
    <xf numFmtId="0" fontId="16" fillId="2" borderId="25" xfId="0" applyFont="1" applyFill="1" applyBorder="1" applyAlignment="1">
      <alignment horizontal="center"/>
    </xf>
    <xf numFmtId="0" fontId="15" fillId="2" borderId="22" xfId="0" applyFont="1" applyFill="1" applyBorder="1"/>
    <xf numFmtId="0" fontId="14" fillId="2" borderId="20" xfId="0" applyFont="1" applyFill="1" applyBorder="1" applyAlignment="1">
      <alignment horizontal="right"/>
    </xf>
    <xf numFmtId="0" fontId="16" fillId="3" borderId="12" xfId="0" applyFont="1" applyFill="1" applyBorder="1" applyAlignment="1">
      <alignment horizontal="right"/>
    </xf>
    <xf numFmtId="0" fontId="16" fillId="3" borderId="26" xfId="0" applyFont="1" applyFill="1" applyBorder="1" applyAlignment="1">
      <alignment horizontal="right"/>
    </xf>
    <xf numFmtId="0" fontId="16" fillId="3" borderId="27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7" fillId="4" borderId="12" xfId="0" applyFont="1" applyFill="1" applyBorder="1" applyAlignment="1">
      <alignment horizontal="right"/>
    </xf>
    <xf numFmtId="0" fontId="5" fillId="4" borderId="12" xfId="0" applyFont="1" applyFill="1" applyBorder="1" applyAlignment="1">
      <alignment horizontal="right"/>
    </xf>
    <xf numFmtId="0" fontId="18" fillId="0" borderId="12" xfId="0" applyFont="1" applyBorder="1"/>
    <xf numFmtId="0" fontId="16" fillId="5" borderId="27" xfId="0" applyFont="1" applyFill="1" applyBorder="1" applyAlignment="1">
      <alignment horizontal="center"/>
    </xf>
    <xf numFmtId="0" fontId="16" fillId="5" borderId="28" xfId="0" applyFont="1" applyFill="1" applyBorder="1" applyAlignment="1">
      <alignment horizontal="center"/>
    </xf>
    <xf numFmtId="0" fontId="16" fillId="6" borderId="12" xfId="0" applyFont="1" applyFill="1" applyBorder="1" applyAlignment="1">
      <alignment horizontal="center"/>
    </xf>
    <xf numFmtId="0" fontId="5" fillId="6" borderId="22" xfId="0" applyFont="1" applyFill="1" applyBorder="1"/>
    <xf numFmtId="0" fontId="19" fillId="7" borderId="9" xfId="0" applyFont="1" applyFill="1" applyBorder="1" applyAlignment="1">
      <alignment horizontal="center"/>
    </xf>
    <xf numFmtId="0" fontId="16" fillId="3" borderId="27" xfId="0" applyFont="1" applyFill="1" applyBorder="1" applyAlignment="1">
      <alignment horizontal="center"/>
    </xf>
    <xf numFmtId="0" fontId="16" fillId="5" borderId="28" xfId="0" applyFont="1" applyFill="1" applyBorder="1" applyAlignment="1">
      <alignment horizontal="center"/>
    </xf>
    <xf numFmtId="0" fontId="18" fillId="0" borderId="12" xfId="0" applyFont="1" applyBorder="1" applyAlignment="1"/>
    <xf numFmtId="0" fontId="16" fillId="4" borderId="12" xfId="0" applyFont="1" applyFill="1" applyBorder="1" applyAlignment="1">
      <alignment horizontal="center"/>
    </xf>
    <xf numFmtId="0" fontId="17" fillId="4" borderId="12" xfId="0" applyFont="1" applyFill="1" applyBorder="1" applyAlignment="1">
      <alignment horizontal="right"/>
    </xf>
    <xf numFmtId="0" fontId="9" fillId="8" borderId="12" xfId="0" applyFont="1" applyFill="1" applyBorder="1" applyAlignment="1">
      <alignment horizontal="center"/>
    </xf>
    <xf numFmtId="0" fontId="9" fillId="8" borderId="26" xfId="0" applyFont="1" applyFill="1" applyBorder="1" applyAlignment="1">
      <alignment horizontal="center"/>
    </xf>
    <xf numFmtId="0" fontId="9" fillId="8" borderId="27" xfId="0" applyFont="1" applyFill="1" applyBorder="1" applyAlignment="1">
      <alignment horizontal="center"/>
    </xf>
    <xf numFmtId="0" fontId="16" fillId="8" borderId="12" xfId="0" applyFont="1" applyFill="1" applyBorder="1" applyAlignment="1">
      <alignment horizontal="center"/>
    </xf>
    <xf numFmtId="0" fontId="15" fillId="8" borderId="12" xfId="0" applyFont="1" applyFill="1" applyBorder="1" applyAlignment="1"/>
    <xf numFmtId="0" fontId="18" fillId="2" borderId="12" xfId="0" applyFont="1" applyFill="1" applyBorder="1" applyAlignment="1"/>
    <xf numFmtId="0" fontId="18" fillId="2" borderId="29" xfId="0" applyFont="1" applyFill="1" applyBorder="1" applyAlignment="1"/>
    <xf numFmtId="0" fontId="16" fillId="8" borderId="27" xfId="0" applyFont="1" applyFill="1" applyBorder="1" applyAlignment="1">
      <alignment horizontal="center"/>
    </xf>
    <xf numFmtId="0" fontId="16" fillId="8" borderId="28" xfId="0" applyFont="1" applyFill="1" applyBorder="1" applyAlignment="1">
      <alignment horizontal="center"/>
    </xf>
    <xf numFmtId="0" fontId="16" fillId="6" borderId="12" xfId="0" applyFont="1" applyFill="1" applyBorder="1" applyAlignment="1">
      <alignment horizontal="center"/>
    </xf>
    <xf numFmtId="0" fontId="16" fillId="3" borderId="26" xfId="0" applyFont="1" applyFill="1" applyBorder="1" applyAlignment="1">
      <alignment horizontal="right"/>
    </xf>
    <xf numFmtId="0" fontId="16" fillId="3" borderId="12" xfId="0" applyFont="1" applyFill="1" applyBorder="1" applyAlignment="1">
      <alignment horizontal="right"/>
    </xf>
    <xf numFmtId="0" fontId="9" fillId="2" borderId="12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9" fillId="2" borderId="27" xfId="0" applyFont="1" applyFill="1" applyBorder="1" applyAlignment="1">
      <alignment horizontal="center"/>
    </xf>
    <xf numFmtId="0" fontId="16" fillId="2" borderId="12" xfId="0" applyFont="1" applyFill="1" applyBorder="1" applyAlignment="1">
      <alignment horizontal="center"/>
    </xf>
    <xf numFmtId="0" fontId="16" fillId="2" borderId="27" xfId="0" applyFont="1" applyFill="1" applyBorder="1" applyAlignment="1">
      <alignment horizontal="center"/>
    </xf>
    <xf numFmtId="0" fontId="16" fillId="2" borderId="28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right"/>
    </xf>
    <xf numFmtId="0" fontId="16" fillId="5" borderId="27" xfId="0" applyFont="1" applyFill="1" applyBorder="1" applyAlignment="1">
      <alignment horizontal="center"/>
    </xf>
    <xf numFmtId="0" fontId="5" fillId="2" borderId="20" xfId="0" applyFont="1" applyFill="1" applyBorder="1"/>
    <xf numFmtId="0" fontId="9" fillId="2" borderId="12" xfId="0" applyFont="1" applyFill="1" applyBorder="1"/>
    <xf numFmtId="0" fontId="9" fillId="2" borderId="26" xfId="0" applyFont="1" applyFill="1" applyBorder="1"/>
    <xf numFmtId="0" fontId="15" fillId="2" borderId="12" xfId="0" applyFont="1" applyFill="1" applyBorder="1" applyAlignment="1"/>
    <xf numFmtId="0" fontId="16" fillId="3" borderId="30" xfId="0" applyFont="1" applyFill="1" applyBorder="1" applyAlignment="1">
      <alignment horizontal="right"/>
    </xf>
    <xf numFmtId="0" fontId="14" fillId="2" borderId="20" xfId="0" applyFont="1" applyFill="1" applyBorder="1" applyAlignment="1">
      <alignment horizontal="right"/>
    </xf>
    <xf numFmtId="0" fontId="16" fillId="3" borderId="30" xfId="0" applyFont="1" applyFill="1" applyBorder="1" applyAlignment="1">
      <alignment horizontal="right"/>
    </xf>
    <xf numFmtId="0" fontId="14" fillId="2" borderId="2" xfId="0" applyFont="1" applyFill="1" applyBorder="1" applyAlignment="1">
      <alignment horizontal="right"/>
    </xf>
    <xf numFmtId="0" fontId="16" fillId="3" borderId="31" xfId="0" applyFont="1" applyFill="1" applyBorder="1" applyAlignment="1">
      <alignment horizontal="right"/>
    </xf>
    <xf numFmtId="0" fontId="16" fillId="3" borderId="32" xfId="0" applyFont="1" applyFill="1" applyBorder="1" applyAlignment="1">
      <alignment horizontal="center"/>
    </xf>
    <xf numFmtId="0" fontId="16" fillId="5" borderId="32" xfId="0" applyFont="1" applyFill="1" applyBorder="1" applyAlignment="1">
      <alignment horizontal="center"/>
    </xf>
    <xf numFmtId="0" fontId="16" fillId="5" borderId="33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right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9" borderId="19" xfId="0" applyFont="1" applyFill="1" applyBorder="1" applyAlignment="1">
      <alignment horizontal="center"/>
    </xf>
    <xf numFmtId="0" fontId="16" fillId="9" borderId="15" xfId="0" applyFont="1" applyFill="1" applyBorder="1" applyAlignment="1">
      <alignment horizontal="center"/>
    </xf>
    <xf numFmtId="0" fontId="20" fillId="10" borderId="12" xfId="0" applyFont="1" applyFill="1" applyBorder="1" applyAlignment="1">
      <alignment horizontal="center"/>
    </xf>
    <xf numFmtId="0" fontId="21" fillId="4" borderId="17" xfId="0" applyFont="1" applyFill="1" applyBorder="1" applyAlignment="1">
      <alignment horizontal="center"/>
    </xf>
    <xf numFmtId="0" fontId="21" fillId="4" borderId="19" xfId="0" applyFont="1" applyFill="1" applyBorder="1" applyAlignment="1">
      <alignment horizontal="center"/>
    </xf>
    <xf numFmtId="0" fontId="22" fillId="11" borderId="19" xfId="0" applyFont="1" applyFill="1" applyBorder="1" applyAlignment="1">
      <alignment horizontal="center"/>
    </xf>
    <xf numFmtId="0" fontId="21" fillId="6" borderId="15" xfId="0" applyFont="1" applyFill="1" applyBorder="1"/>
    <xf numFmtId="0" fontId="23" fillId="7" borderId="9" xfId="0" applyFont="1" applyFill="1" applyBorder="1" applyAlignment="1">
      <alignment horizontal="center"/>
    </xf>
    <xf numFmtId="0" fontId="24" fillId="3" borderId="9" xfId="0" applyFont="1" applyFill="1" applyBorder="1"/>
    <xf numFmtId="0" fontId="25" fillId="3" borderId="19" xfId="0" applyFont="1" applyFill="1" applyBorder="1"/>
    <xf numFmtId="0" fontId="15" fillId="0" borderId="0" xfId="0" applyFont="1" applyAlignment="1">
      <alignment horizontal="right"/>
    </xf>
    <xf numFmtId="0" fontId="24" fillId="5" borderId="9" xfId="0" applyFont="1" applyFill="1" applyBorder="1"/>
    <xf numFmtId="0" fontId="21" fillId="5" borderId="9" xfId="0" applyFont="1" applyFill="1" applyBorder="1"/>
    <xf numFmtId="0" fontId="6" fillId="0" borderId="0" xfId="0" applyFont="1" applyAlignment="1"/>
    <xf numFmtId="0" fontId="12" fillId="6" borderId="9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right"/>
    </xf>
    <xf numFmtId="0" fontId="9" fillId="8" borderId="12" xfId="0" applyFont="1" applyFill="1" applyBorder="1" applyAlignment="1">
      <alignment horizontal="center"/>
    </xf>
    <xf numFmtId="0" fontId="5" fillId="6" borderId="22" xfId="0" applyFont="1" applyFill="1" applyBorder="1" applyAlignment="1"/>
    <xf numFmtId="0" fontId="21" fillId="6" borderId="19" xfId="0" applyFont="1" applyFill="1" applyBorder="1"/>
    <xf numFmtId="0" fontId="13" fillId="0" borderId="0" xfId="0" applyFont="1" applyAlignment="1">
      <alignment horizontal="center"/>
    </xf>
    <xf numFmtId="0" fontId="15" fillId="2" borderId="0" xfId="0" applyFont="1" applyFill="1" applyAlignment="1"/>
    <xf numFmtId="0" fontId="18" fillId="0" borderId="0" xfId="0" applyFont="1"/>
    <xf numFmtId="0" fontId="18" fillId="2" borderId="0" xfId="0" applyFont="1" applyFill="1" applyAlignment="1"/>
    <xf numFmtId="0" fontId="18" fillId="2" borderId="12" xfId="0" applyFont="1" applyFill="1" applyBorder="1" applyAlignment="1"/>
    <xf numFmtId="0" fontId="6" fillId="0" borderId="0" xfId="0" applyFont="1"/>
    <xf numFmtId="0" fontId="20" fillId="12" borderId="0" xfId="0" applyFont="1" applyFill="1" applyAlignment="1">
      <alignment horizontal="center"/>
    </xf>
    <xf numFmtId="0" fontId="5" fillId="4" borderId="12" xfId="0" applyFont="1" applyFill="1" applyBorder="1" applyAlignment="1">
      <alignment horizontal="right"/>
    </xf>
    <xf numFmtId="0" fontId="27" fillId="4" borderId="12" xfId="0" applyFont="1" applyFill="1" applyBorder="1" applyAlignment="1">
      <alignment horizontal="right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8" xfId="0" applyFont="1" applyBorder="1"/>
    <xf numFmtId="0" fontId="3" fillId="3" borderId="3" xfId="0" applyFont="1" applyFill="1" applyBorder="1" applyAlignment="1">
      <alignment horizontal="center"/>
    </xf>
    <xf numFmtId="0" fontId="2" fillId="0" borderId="14" xfId="0" applyFont="1" applyBorder="1"/>
    <xf numFmtId="0" fontId="2" fillId="0" borderId="19" xfId="0" applyFont="1" applyBorder="1"/>
    <xf numFmtId="0" fontId="3" fillId="3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15" xfId="0" applyFont="1" applyBorder="1"/>
    <xf numFmtId="0" fontId="4" fillId="4" borderId="6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5" fillId="6" borderId="6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20" fillId="12" borderId="4" xfId="0" applyFont="1" applyFill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20" fillId="12" borderId="15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2" fillId="0" borderId="11" xfId="0" applyFont="1" applyBorder="1"/>
    <xf numFmtId="0" fontId="2" fillId="0" borderId="16" xfId="0" applyFont="1" applyBorder="1"/>
    <xf numFmtId="0" fontId="2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003"/>
  <sheetViews>
    <sheetView tabSelected="1" zoomScale="40" zoomScaleNormal="40" workbookViewId="0">
      <pane xSplit="1" topLeftCell="U1" activePane="topRight" state="frozen"/>
      <selection pane="topRight" activeCell="V6" sqref="V6"/>
    </sheetView>
  </sheetViews>
  <sheetFormatPr defaultColWidth="14.453125" defaultRowHeight="15" customHeight="1" x14ac:dyDescent="0.35"/>
  <cols>
    <col min="1" max="1" width="41.26953125" customWidth="1"/>
    <col min="2" max="4" width="22.7265625" hidden="1" customWidth="1"/>
    <col min="5" max="6" width="15.7265625" hidden="1" customWidth="1"/>
    <col min="7" max="7" width="19.81640625" hidden="1" customWidth="1"/>
    <col min="8" max="9" width="17.7265625" hidden="1" customWidth="1"/>
    <col min="10" max="11" width="24.54296875" hidden="1" customWidth="1"/>
    <col min="12" max="15" width="22.7265625" hidden="1" customWidth="1"/>
    <col min="16" max="16" width="17.7265625" hidden="1" customWidth="1"/>
    <col min="17" max="17" width="24.08984375" hidden="1" customWidth="1"/>
    <col min="18" max="18" width="22.08984375" hidden="1" customWidth="1"/>
    <col min="19" max="19" width="8.7265625" hidden="1" customWidth="1"/>
    <col min="20" max="20" width="36.7265625" hidden="1" customWidth="1"/>
    <col min="21" max="31" width="8.7265625" customWidth="1"/>
  </cols>
  <sheetData>
    <row r="1" spans="1:20" ht="26" x14ac:dyDescent="0.6">
      <c r="A1" s="108"/>
      <c r="B1" s="109"/>
      <c r="C1" s="109"/>
      <c r="D1" s="109"/>
      <c r="E1" s="109"/>
      <c r="F1" s="109"/>
      <c r="G1" s="109"/>
      <c r="H1" s="109"/>
      <c r="I1" s="109"/>
    </row>
    <row r="2" spans="1:20" ht="27" customHeight="1" x14ac:dyDescent="0.6">
      <c r="A2" s="110"/>
      <c r="B2" s="113" t="s">
        <v>1</v>
      </c>
      <c r="C2" s="116"/>
      <c r="D2" s="117"/>
      <c r="E2" s="119" t="s">
        <v>2</v>
      </c>
      <c r="F2" s="120"/>
      <c r="G2" s="120"/>
      <c r="H2" s="120"/>
      <c r="I2" s="121"/>
      <c r="J2" s="1"/>
      <c r="K2" s="1"/>
      <c r="L2" s="129" t="s">
        <v>1</v>
      </c>
      <c r="M2" s="130"/>
      <c r="N2" s="131"/>
      <c r="O2" s="122" t="s">
        <v>3</v>
      </c>
      <c r="P2" s="121"/>
      <c r="Q2" s="3"/>
      <c r="R2" s="3"/>
      <c r="T2" s="123" t="s">
        <v>4</v>
      </c>
    </row>
    <row r="3" spans="1:20" ht="27" customHeight="1" x14ac:dyDescent="0.6">
      <c r="A3" s="111"/>
      <c r="B3" s="114"/>
      <c r="C3" s="118"/>
      <c r="D3" s="109"/>
      <c r="E3" s="125" t="s">
        <v>5</v>
      </c>
      <c r="F3" s="120"/>
      <c r="G3" s="120"/>
      <c r="H3" s="120"/>
      <c r="I3" s="121"/>
      <c r="J3" s="1"/>
      <c r="K3" s="2"/>
      <c r="L3" s="114"/>
      <c r="M3" s="132"/>
      <c r="N3" s="133"/>
      <c r="O3" s="124" t="s">
        <v>6</v>
      </c>
      <c r="P3" s="121"/>
      <c r="Q3" s="3"/>
      <c r="R3" s="3"/>
      <c r="T3" s="114"/>
    </row>
    <row r="4" spans="1:20" ht="27" customHeight="1" x14ac:dyDescent="0.6">
      <c r="A4" s="112"/>
      <c r="B4" s="115"/>
      <c r="C4" s="4" t="s">
        <v>7</v>
      </c>
      <c r="D4" s="5" t="s">
        <v>8</v>
      </c>
      <c r="E4" s="6" t="s">
        <v>9</v>
      </c>
      <c r="F4" s="6" t="s">
        <v>10</v>
      </c>
      <c r="G4" s="6" t="s">
        <v>11</v>
      </c>
      <c r="H4" s="7" t="s">
        <v>12</v>
      </c>
      <c r="I4" s="8" t="s">
        <v>13</v>
      </c>
      <c r="J4" s="9" t="s">
        <v>14</v>
      </c>
      <c r="K4" s="10" t="s">
        <v>15</v>
      </c>
      <c r="L4" s="115"/>
      <c r="M4" s="11" t="s">
        <v>16</v>
      </c>
      <c r="N4" s="12" t="s">
        <v>17</v>
      </c>
      <c r="O4" s="13" t="s">
        <v>18</v>
      </c>
      <c r="P4" s="14" t="s">
        <v>13</v>
      </c>
      <c r="Q4" s="9" t="s">
        <v>14</v>
      </c>
      <c r="R4" s="10" t="s">
        <v>15</v>
      </c>
      <c r="T4" s="114"/>
    </row>
    <row r="5" spans="1:20" ht="21" x14ac:dyDescent="0.5">
      <c r="A5" s="15" t="s">
        <v>19</v>
      </c>
      <c r="B5" s="16"/>
      <c r="C5" s="17"/>
      <c r="D5" s="18"/>
      <c r="E5" s="19"/>
      <c r="F5" s="19"/>
      <c r="G5" s="19"/>
      <c r="H5" s="20"/>
      <c r="I5" s="20"/>
      <c r="J5" s="21"/>
      <c r="K5" s="21"/>
      <c r="L5" s="22"/>
      <c r="M5" s="23"/>
      <c r="N5" s="24"/>
      <c r="O5" s="25"/>
      <c r="P5" s="25"/>
      <c r="Q5" s="21"/>
      <c r="R5" s="21"/>
      <c r="T5" s="115"/>
    </row>
    <row r="6" spans="1:20" ht="21" x14ac:dyDescent="0.5">
      <c r="A6" s="26" t="s">
        <v>20</v>
      </c>
      <c r="B6" s="27">
        <f>12+264+7</f>
        <v>283</v>
      </c>
      <c r="C6" s="28"/>
      <c r="D6" s="29"/>
      <c r="E6" s="30"/>
      <c r="F6" s="30"/>
      <c r="G6" s="30"/>
      <c r="H6" s="31">
        <f t="shared" ref="H6:H13" si="0">SUM(E6:G6)</f>
        <v>0</v>
      </c>
      <c r="I6" s="32">
        <f t="shared" ref="I6:I13" si="1">B6-H6+C6+D6</f>
        <v>283</v>
      </c>
      <c r="J6" s="33">
        <f>12+264+7</f>
        <v>283</v>
      </c>
      <c r="K6" s="33">
        <f t="shared" ref="K6:K13" si="2">J6-I6</f>
        <v>0</v>
      </c>
      <c r="L6" s="31">
        <v>0</v>
      </c>
      <c r="M6" s="34"/>
      <c r="N6" s="35"/>
      <c r="O6" s="36"/>
      <c r="P6" s="37">
        <f t="shared" ref="P6:P13" si="3">L6-O6+M6+N6</f>
        <v>0</v>
      </c>
      <c r="Q6" s="33"/>
      <c r="R6" s="33">
        <f t="shared" ref="R6:R13" si="4">Q6-P6</f>
        <v>0</v>
      </c>
      <c r="T6" s="38">
        <f t="shared" ref="T6:T13" si="5">I6+P6</f>
        <v>283</v>
      </c>
    </row>
    <row r="7" spans="1:20" ht="21" x14ac:dyDescent="0.5">
      <c r="A7" s="26" t="s">
        <v>21</v>
      </c>
      <c r="B7" s="27">
        <f>120+24+12</f>
        <v>156</v>
      </c>
      <c r="C7" s="28"/>
      <c r="D7" s="39">
        <v>24</v>
      </c>
      <c r="E7" s="30"/>
      <c r="F7" s="30"/>
      <c r="G7" s="30"/>
      <c r="H7" s="31">
        <f t="shared" si="0"/>
        <v>0</v>
      </c>
      <c r="I7" s="32">
        <f t="shared" si="1"/>
        <v>180</v>
      </c>
      <c r="J7" s="33">
        <f>120+24+12</f>
        <v>156</v>
      </c>
      <c r="K7" s="33">
        <f t="shared" si="2"/>
        <v>-24</v>
      </c>
      <c r="L7" s="31">
        <v>0</v>
      </c>
      <c r="M7" s="34"/>
      <c r="N7" s="40"/>
      <c r="O7" s="36"/>
      <c r="P7" s="37">
        <f t="shared" si="3"/>
        <v>0</v>
      </c>
      <c r="Q7" s="33"/>
      <c r="R7" s="33">
        <f t="shared" si="4"/>
        <v>0</v>
      </c>
      <c r="T7" s="38">
        <f t="shared" si="5"/>
        <v>180</v>
      </c>
    </row>
    <row r="8" spans="1:20" ht="21" x14ac:dyDescent="0.5">
      <c r="A8" s="26" t="s">
        <v>22</v>
      </c>
      <c r="B8" s="27">
        <f>240+16</f>
        <v>256</v>
      </c>
      <c r="C8" s="28"/>
      <c r="D8" s="29"/>
      <c r="E8" s="30"/>
      <c r="F8" s="30"/>
      <c r="G8" s="30"/>
      <c r="H8" s="31">
        <f t="shared" si="0"/>
        <v>0</v>
      </c>
      <c r="I8" s="32">
        <f t="shared" si="1"/>
        <v>256</v>
      </c>
      <c r="J8" s="33">
        <f>240+16</f>
        <v>256</v>
      </c>
      <c r="K8" s="33">
        <f t="shared" si="2"/>
        <v>0</v>
      </c>
      <c r="L8" s="31">
        <v>0</v>
      </c>
      <c r="M8" s="34"/>
      <c r="N8" s="35"/>
      <c r="O8" s="36"/>
      <c r="P8" s="37">
        <f t="shared" si="3"/>
        <v>0</v>
      </c>
      <c r="Q8" s="33"/>
      <c r="R8" s="33">
        <f t="shared" si="4"/>
        <v>0</v>
      </c>
      <c r="T8" s="38">
        <f t="shared" si="5"/>
        <v>256</v>
      </c>
    </row>
    <row r="9" spans="1:20" ht="21" x14ac:dyDescent="0.5">
      <c r="A9" s="26" t="s">
        <v>23</v>
      </c>
      <c r="B9" s="27">
        <v>624</v>
      </c>
      <c r="C9" s="28"/>
      <c r="D9" s="29"/>
      <c r="E9" s="30"/>
      <c r="F9" s="30"/>
      <c r="G9" s="30"/>
      <c r="H9" s="31">
        <f t="shared" si="0"/>
        <v>0</v>
      </c>
      <c r="I9" s="32">
        <f t="shared" si="1"/>
        <v>624</v>
      </c>
      <c r="J9" s="41">
        <v>624</v>
      </c>
      <c r="K9" s="33">
        <f t="shared" si="2"/>
        <v>0</v>
      </c>
      <c r="L9" s="31">
        <v>0</v>
      </c>
      <c r="M9" s="34"/>
      <c r="N9" s="40"/>
      <c r="O9" s="36"/>
      <c r="P9" s="37">
        <f t="shared" si="3"/>
        <v>0</v>
      </c>
      <c r="Q9" s="41"/>
      <c r="R9" s="33">
        <f t="shared" si="4"/>
        <v>0</v>
      </c>
      <c r="T9" s="38">
        <f t="shared" si="5"/>
        <v>624</v>
      </c>
    </row>
    <row r="10" spans="1:20" ht="21" x14ac:dyDescent="0.5">
      <c r="A10" s="26" t="s">
        <v>24</v>
      </c>
      <c r="B10" s="27">
        <f>408+12</f>
        <v>420</v>
      </c>
      <c r="C10" s="28"/>
      <c r="D10" s="29"/>
      <c r="E10" s="30"/>
      <c r="F10" s="30"/>
      <c r="G10" s="30"/>
      <c r="H10" s="31">
        <f t="shared" si="0"/>
        <v>0</v>
      </c>
      <c r="I10" s="32">
        <f t="shared" si="1"/>
        <v>420</v>
      </c>
      <c r="J10" s="41">
        <v>420</v>
      </c>
      <c r="K10" s="33">
        <f t="shared" si="2"/>
        <v>0</v>
      </c>
      <c r="L10" s="31">
        <v>0</v>
      </c>
      <c r="M10" s="34"/>
      <c r="N10" s="40"/>
      <c r="O10" s="36"/>
      <c r="P10" s="37">
        <f t="shared" si="3"/>
        <v>0</v>
      </c>
      <c r="Q10" s="41"/>
      <c r="R10" s="33">
        <f t="shared" si="4"/>
        <v>0</v>
      </c>
      <c r="T10" s="38">
        <f t="shared" si="5"/>
        <v>420</v>
      </c>
    </row>
    <row r="11" spans="1:20" ht="21" x14ac:dyDescent="0.5">
      <c r="A11" s="26" t="s">
        <v>25</v>
      </c>
      <c r="B11" s="27">
        <f>264+23</f>
        <v>287</v>
      </c>
      <c r="C11" s="28"/>
      <c r="D11" s="29"/>
      <c r="E11" s="30"/>
      <c r="F11" s="30"/>
      <c r="G11" s="30"/>
      <c r="H11" s="31">
        <f t="shared" si="0"/>
        <v>0</v>
      </c>
      <c r="I11" s="32">
        <f t="shared" si="1"/>
        <v>287</v>
      </c>
      <c r="J11" s="33">
        <f>264+23</f>
        <v>287</v>
      </c>
      <c r="K11" s="33">
        <f t="shared" si="2"/>
        <v>0</v>
      </c>
      <c r="L11" s="31">
        <v>0</v>
      </c>
      <c r="M11" s="34"/>
      <c r="N11" s="40"/>
      <c r="O11" s="36"/>
      <c r="P11" s="37">
        <f t="shared" si="3"/>
        <v>0</v>
      </c>
      <c r="Q11" s="33"/>
      <c r="R11" s="33">
        <f t="shared" si="4"/>
        <v>0</v>
      </c>
      <c r="T11" s="38">
        <f t="shared" si="5"/>
        <v>287</v>
      </c>
    </row>
    <row r="12" spans="1:20" ht="21" x14ac:dyDescent="0.5">
      <c r="A12" s="26" t="s">
        <v>26</v>
      </c>
      <c r="B12" s="27">
        <f>4+22</f>
        <v>26</v>
      </c>
      <c r="C12" s="28"/>
      <c r="D12" s="29"/>
      <c r="E12" s="42">
        <v>6</v>
      </c>
      <c r="F12" s="30"/>
      <c r="G12" s="30"/>
      <c r="H12" s="31">
        <f t="shared" si="0"/>
        <v>6</v>
      </c>
      <c r="I12" s="32">
        <f t="shared" si="1"/>
        <v>20</v>
      </c>
      <c r="J12" s="41">
        <v>26</v>
      </c>
      <c r="K12" s="33">
        <f t="shared" si="2"/>
        <v>6</v>
      </c>
      <c r="L12" s="31">
        <v>0</v>
      </c>
      <c r="M12" s="34"/>
      <c r="N12" s="40"/>
      <c r="O12" s="36"/>
      <c r="P12" s="37">
        <f t="shared" si="3"/>
        <v>0</v>
      </c>
      <c r="Q12" s="41"/>
      <c r="R12" s="33">
        <f t="shared" si="4"/>
        <v>0</v>
      </c>
      <c r="T12" s="38">
        <f t="shared" si="5"/>
        <v>20</v>
      </c>
    </row>
    <row r="13" spans="1:20" ht="21" x14ac:dyDescent="0.5">
      <c r="A13" s="26" t="s">
        <v>27</v>
      </c>
      <c r="B13" s="27">
        <v>432</v>
      </c>
      <c r="C13" s="28"/>
      <c r="D13" s="29"/>
      <c r="E13" s="30"/>
      <c r="F13" s="30"/>
      <c r="G13" s="30"/>
      <c r="H13" s="31">
        <f t="shared" si="0"/>
        <v>0</v>
      </c>
      <c r="I13" s="32">
        <f t="shared" si="1"/>
        <v>432</v>
      </c>
      <c r="J13" s="41">
        <v>432</v>
      </c>
      <c r="K13" s="33">
        <f t="shared" si="2"/>
        <v>0</v>
      </c>
      <c r="L13" s="43">
        <v>18</v>
      </c>
      <c r="M13" s="34"/>
      <c r="N13" s="40"/>
      <c r="O13" s="36"/>
      <c r="P13" s="37">
        <f t="shared" si="3"/>
        <v>18</v>
      </c>
      <c r="Q13" s="41">
        <v>18</v>
      </c>
      <c r="R13" s="33">
        <f t="shared" si="4"/>
        <v>0</v>
      </c>
      <c r="T13" s="38">
        <f t="shared" si="5"/>
        <v>450</v>
      </c>
    </row>
    <row r="14" spans="1:20" ht="21" x14ac:dyDescent="0.5">
      <c r="A14" s="15" t="s">
        <v>28</v>
      </c>
      <c r="B14" s="44"/>
      <c r="C14" s="45"/>
      <c r="D14" s="46"/>
      <c r="E14" s="47"/>
      <c r="F14" s="47"/>
      <c r="G14" s="47"/>
      <c r="H14" s="48"/>
      <c r="I14" s="48"/>
      <c r="J14" s="49"/>
      <c r="K14" s="50"/>
      <c r="L14" s="48"/>
      <c r="M14" s="51"/>
      <c r="N14" s="52"/>
      <c r="O14" s="47"/>
      <c r="P14" s="47"/>
      <c r="Q14" s="49"/>
      <c r="R14" s="50"/>
      <c r="T14" s="47"/>
    </row>
    <row r="15" spans="1:20" ht="21" x14ac:dyDescent="0.5">
      <c r="A15" s="26" t="s">
        <v>29</v>
      </c>
      <c r="B15" s="27">
        <f>120+2+12+9</f>
        <v>143</v>
      </c>
      <c r="C15" s="28"/>
      <c r="D15" s="29"/>
      <c r="E15" s="30"/>
      <c r="F15" s="30"/>
      <c r="G15" s="30"/>
      <c r="H15" s="31">
        <f t="shared" ref="H15:H27" si="6">SUM(E15:G15)</f>
        <v>0</v>
      </c>
      <c r="I15" s="32">
        <f t="shared" ref="I15:I27" si="7">B15-H15+C15+D15</f>
        <v>143</v>
      </c>
      <c r="J15" s="33">
        <f>120+14+9</f>
        <v>143</v>
      </c>
      <c r="K15" s="33">
        <f t="shared" ref="K15:K27" si="8">J15-I15</f>
        <v>0</v>
      </c>
      <c r="L15" s="43">
        <v>10</v>
      </c>
      <c r="M15" s="34"/>
      <c r="N15" s="40"/>
      <c r="O15" s="36"/>
      <c r="P15" s="37">
        <f t="shared" ref="P15:P27" si="9">L15-O15+M15+N15</f>
        <v>10</v>
      </c>
      <c r="Q15" s="41">
        <v>10</v>
      </c>
      <c r="R15" s="33">
        <f t="shared" ref="R15:R27" si="10">Q15-P15</f>
        <v>0</v>
      </c>
      <c r="T15" s="38">
        <f t="shared" ref="T15:T27" si="11">I15+P15</f>
        <v>153</v>
      </c>
    </row>
    <row r="16" spans="1:20" ht="21" x14ac:dyDescent="0.5">
      <c r="A16" s="26" t="s">
        <v>30</v>
      </c>
      <c r="B16" s="27">
        <f>240+8+72+11</f>
        <v>331</v>
      </c>
      <c r="C16" s="28"/>
      <c r="D16" s="29"/>
      <c r="E16" s="42">
        <f>24+17</f>
        <v>41</v>
      </c>
      <c r="F16" s="30"/>
      <c r="G16" s="30"/>
      <c r="H16" s="31">
        <f t="shared" si="6"/>
        <v>41</v>
      </c>
      <c r="I16" s="32">
        <f t="shared" si="7"/>
        <v>290</v>
      </c>
      <c r="J16" s="33">
        <f>240+8+72+11</f>
        <v>331</v>
      </c>
      <c r="K16" s="33">
        <f t="shared" si="8"/>
        <v>41</v>
      </c>
      <c r="L16" s="43">
        <f>58+264+77</f>
        <v>399</v>
      </c>
      <c r="M16" s="34"/>
      <c r="N16" s="35">
        <v>7</v>
      </c>
      <c r="O16" s="53">
        <v>97</v>
      </c>
      <c r="P16" s="37">
        <f t="shared" si="9"/>
        <v>309</v>
      </c>
      <c r="Q16" s="33">
        <f>58+264+77</f>
        <v>399</v>
      </c>
      <c r="R16" s="33">
        <f t="shared" si="10"/>
        <v>90</v>
      </c>
      <c r="T16" s="38">
        <f t="shared" si="11"/>
        <v>599</v>
      </c>
    </row>
    <row r="17" spans="1:20" ht="21" x14ac:dyDescent="0.5">
      <c r="A17" s="26" t="s">
        <v>31</v>
      </c>
      <c r="B17" s="27">
        <v>129</v>
      </c>
      <c r="C17" s="28"/>
      <c r="D17" s="29"/>
      <c r="E17" s="30"/>
      <c r="F17" s="30"/>
      <c r="G17" s="30"/>
      <c r="H17" s="31">
        <f t="shared" si="6"/>
        <v>0</v>
      </c>
      <c r="I17" s="32">
        <f t="shared" si="7"/>
        <v>129</v>
      </c>
      <c r="J17" s="41">
        <v>129</v>
      </c>
      <c r="K17" s="33">
        <f t="shared" si="8"/>
        <v>0</v>
      </c>
      <c r="L17" s="43">
        <v>11</v>
      </c>
      <c r="M17" s="34"/>
      <c r="N17" s="40"/>
      <c r="O17" s="36"/>
      <c r="P17" s="37">
        <f t="shared" si="9"/>
        <v>11</v>
      </c>
      <c r="Q17" s="41">
        <v>11</v>
      </c>
      <c r="R17" s="33">
        <f t="shared" si="10"/>
        <v>0</v>
      </c>
      <c r="T17" s="38">
        <f t="shared" si="11"/>
        <v>140</v>
      </c>
    </row>
    <row r="18" spans="1:20" ht="21" x14ac:dyDescent="0.5">
      <c r="A18" s="26" t="s">
        <v>32</v>
      </c>
      <c r="B18" s="27">
        <v>24</v>
      </c>
      <c r="C18" s="28"/>
      <c r="D18" s="29"/>
      <c r="E18" s="30"/>
      <c r="F18" s="30"/>
      <c r="G18" s="30"/>
      <c r="H18" s="31">
        <f t="shared" si="6"/>
        <v>0</v>
      </c>
      <c r="I18" s="32">
        <f t="shared" si="7"/>
        <v>24</v>
      </c>
      <c r="J18" s="41">
        <v>24</v>
      </c>
      <c r="K18" s="33">
        <f t="shared" si="8"/>
        <v>0</v>
      </c>
      <c r="L18" s="43">
        <v>101</v>
      </c>
      <c r="M18" s="34"/>
      <c r="N18" s="40"/>
      <c r="O18" s="36"/>
      <c r="P18" s="37">
        <f t="shared" si="9"/>
        <v>101</v>
      </c>
      <c r="Q18" s="41">
        <v>101</v>
      </c>
      <c r="R18" s="33">
        <f t="shared" si="10"/>
        <v>0</v>
      </c>
      <c r="T18" s="38">
        <f t="shared" si="11"/>
        <v>125</v>
      </c>
    </row>
    <row r="19" spans="1:20" ht="21" x14ac:dyDescent="0.5">
      <c r="A19" s="26" t="s">
        <v>33</v>
      </c>
      <c r="B19" s="27">
        <f>144+5</f>
        <v>149</v>
      </c>
      <c r="C19" s="28"/>
      <c r="D19" s="29"/>
      <c r="E19" s="42">
        <v>5</v>
      </c>
      <c r="F19" s="30"/>
      <c r="G19" s="30"/>
      <c r="H19" s="31">
        <f t="shared" si="6"/>
        <v>5</v>
      </c>
      <c r="I19" s="32">
        <f t="shared" si="7"/>
        <v>144</v>
      </c>
      <c r="J19" s="41">
        <v>149</v>
      </c>
      <c r="K19" s="33">
        <f t="shared" si="8"/>
        <v>5</v>
      </c>
      <c r="L19" s="43">
        <v>130</v>
      </c>
      <c r="M19" s="34"/>
      <c r="N19" s="40"/>
      <c r="O19" s="53">
        <v>18</v>
      </c>
      <c r="P19" s="37">
        <f t="shared" si="9"/>
        <v>112</v>
      </c>
      <c r="Q19" s="41">
        <v>130</v>
      </c>
      <c r="R19" s="33">
        <f t="shared" si="10"/>
        <v>18</v>
      </c>
      <c r="T19" s="38">
        <f t="shared" si="11"/>
        <v>256</v>
      </c>
    </row>
    <row r="20" spans="1:20" ht="21" x14ac:dyDescent="0.5">
      <c r="A20" s="26" t="s">
        <v>34</v>
      </c>
      <c r="B20" s="27">
        <v>180</v>
      </c>
      <c r="C20" s="28"/>
      <c r="D20" s="29"/>
      <c r="E20" s="30"/>
      <c r="F20" s="30"/>
      <c r="G20" s="30"/>
      <c r="H20" s="31">
        <f t="shared" si="6"/>
        <v>0</v>
      </c>
      <c r="I20" s="32">
        <f t="shared" si="7"/>
        <v>180</v>
      </c>
      <c r="J20" s="41">
        <v>180</v>
      </c>
      <c r="K20" s="33">
        <f t="shared" si="8"/>
        <v>0</v>
      </c>
      <c r="L20" s="43">
        <f>104+120</f>
        <v>224</v>
      </c>
      <c r="M20" s="34"/>
      <c r="N20" s="35">
        <v>6</v>
      </c>
      <c r="O20" s="53">
        <v>67</v>
      </c>
      <c r="P20" s="37">
        <f t="shared" si="9"/>
        <v>163</v>
      </c>
      <c r="Q20" s="41">
        <v>224</v>
      </c>
      <c r="R20" s="33">
        <f t="shared" si="10"/>
        <v>61</v>
      </c>
      <c r="T20" s="38">
        <f t="shared" si="11"/>
        <v>343</v>
      </c>
    </row>
    <row r="21" spans="1:20" ht="15.75" customHeight="1" x14ac:dyDescent="0.5">
      <c r="A21" s="26" t="s">
        <v>35</v>
      </c>
      <c r="B21" s="27">
        <f>312+288+32</f>
        <v>632</v>
      </c>
      <c r="C21" s="28"/>
      <c r="D21" s="29"/>
      <c r="E21" s="42">
        <f>96+51</f>
        <v>147</v>
      </c>
      <c r="F21" s="42">
        <v>12</v>
      </c>
      <c r="G21" s="30"/>
      <c r="H21" s="31">
        <f t="shared" si="6"/>
        <v>159</v>
      </c>
      <c r="I21" s="32">
        <f t="shared" si="7"/>
        <v>473</v>
      </c>
      <c r="J21" s="33">
        <f>312+288+32</f>
        <v>632</v>
      </c>
      <c r="K21" s="33">
        <f t="shared" si="8"/>
        <v>159</v>
      </c>
      <c r="L21" s="43">
        <f>140+16+140+4</f>
        <v>300</v>
      </c>
      <c r="M21" s="34"/>
      <c r="N21" s="35">
        <v>5</v>
      </c>
      <c r="O21" s="53">
        <v>58</v>
      </c>
      <c r="P21" s="37">
        <f t="shared" si="9"/>
        <v>247</v>
      </c>
      <c r="Q21" s="33">
        <f>140+16+140+14</f>
        <v>310</v>
      </c>
      <c r="R21" s="33">
        <f t="shared" si="10"/>
        <v>63</v>
      </c>
      <c r="T21" s="38">
        <f t="shared" si="11"/>
        <v>720</v>
      </c>
    </row>
    <row r="22" spans="1:20" ht="15.75" customHeight="1" x14ac:dyDescent="0.5">
      <c r="A22" s="26" t="s">
        <v>36</v>
      </c>
      <c r="B22" s="27">
        <v>0</v>
      </c>
      <c r="C22" s="28"/>
      <c r="D22" s="29"/>
      <c r="E22" s="30"/>
      <c r="F22" s="30"/>
      <c r="G22" s="30"/>
      <c r="H22" s="31">
        <f t="shared" si="6"/>
        <v>0</v>
      </c>
      <c r="I22" s="32">
        <f t="shared" si="7"/>
        <v>0</v>
      </c>
      <c r="J22" s="33"/>
      <c r="K22" s="33">
        <f t="shared" si="8"/>
        <v>0</v>
      </c>
      <c r="L22" s="43">
        <v>98</v>
      </c>
      <c r="M22" s="34"/>
      <c r="N22" s="35">
        <v>1</v>
      </c>
      <c r="O22" s="53">
        <v>23</v>
      </c>
      <c r="P22" s="37">
        <f t="shared" si="9"/>
        <v>76</v>
      </c>
      <c r="Q22" s="41">
        <v>27</v>
      </c>
      <c r="R22" s="33">
        <f t="shared" si="10"/>
        <v>-49</v>
      </c>
      <c r="T22" s="38">
        <f t="shared" si="11"/>
        <v>76</v>
      </c>
    </row>
    <row r="23" spans="1:20" ht="15.75" customHeight="1" x14ac:dyDescent="0.5">
      <c r="A23" s="26" t="s">
        <v>24</v>
      </c>
      <c r="B23" s="27">
        <f>10+6+118+114</f>
        <v>248</v>
      </c>
      <c r="C23" s="54">
        <f>78+78</f>
        <v>156</v>
      </c>
      <c r="D23" s="29"/>
      <c r="E23" s="42">
        <f>65+6</f>
        <v>71</v>
      </c>
      <c r="F23" s="42">
        <v>12</v>
      </c>
      <c r="G23" s="30"/>
      <c r="H23" s="31">
        <f t="shared" si="6"/>
        <v>83</v>
      </c>
      <c r="I23" s="32">
        <f t="shared" si="7"/>
        <v>321</v>
      </c>
      <c r="J23" s="33">
        <f>16+108+10+108+6</f>
        <v>248</v>
      </c>
      <c r="K23" s="33">
        <f t="shared" si="8"/>
        <v>-73</v>
      </c>
      <c r="L23" s="43">
        <f>81+18</f>
        <v>99</v>
      </c>
      <c r="M23" s="34"/>
      <c r="N23" s="35">
        <v>1</v>
      </c>
      <c r="O23" s="53">
        <v>48</v>
      </c>
      <c r="P23" s="37">
        <f t="shared" si="9"/>
        <v>52</v>
      </c>
      <c r="Q23" s="33">
        <f>81+18</f>
        <v>99</v>
      </c>
      <c r="R23" s="33">
        <f t="shared" si="10"/>
        <v>47</v>
      </c>
      <c r="T23" s="38">
        <f t="shared" si="11"/>
        <v>373</v>
      </c>
    </row>
    <row r="24" spans="1:20" ht="15.75" customHeight="1" x14ac:dyDescent="0.5">
      <c r="A24" s="26" t="s">
        <v>37</v>
      </c>
      <c r="B24" s="27">
        <v>137</v>
      </c>
      <c r="C24" s="28"/>
      <c r="D24" s="29"/>
      <c r="E24" s="42">
        <v>6</v>
      </c>
      <c r="F24" s="30"/>
      <c r="G24" s="30"/>
      <c r="H24" s="31">
        <f t="shared" si="6"/>
        <v>6</v>
      </c>
      <c r="I24" s="32">
        <f t="shared" si="7"/>
        <v>131</v>
      </c>
      <c r="J24" s="41">
        <v>137</v>
      </c>
      <c r="K24" s="33">
        <f t="shared" si="8"/>
        <v>6</v>
      </c>
      <c r="L24" s="43">
        <v>123</v>
      </c>
      <c r="M24" s="34"/>
      <c r="N24" s="40"/>
      <c r="O24" s="53">
        <v>14</v>
      </c>
      <c r="P24" s="37">
        <f t="shared" si="9"/>
        <v>109</v>
      </c>
      <c r="Q24" s="41">
        <v>123</v>
      </c>
      <c r="R24" s="33">
        <f t="shared" si="10"/>
        <v>14</v>
      </c>
      <c r="T24" s="38">
        <f t="shared" si="11"/>
        <v>240</v>
      </c>
    </row>
    <row r="25" spans="1:20" ht="15.75" customHeight="1" x14ac:dyDescent="0.5">
      <c r="A25" s="26" t="s">
        <v>38</v>
      </c>
      <c r="B25" s="27">
        <v>48</v>
      </c>
      <c r="C25" s="28"/>
      <c r="D25" s="29"/>
      <c r="E25" s="30"/>
      <c r="F25" s="30"/>
      <c r="G25" s="30"/>
      <c r="H25" s="31">
        <f t="shared" si="6"/>
        <v>0</v>
      </c>
      <c r="I25" s="32">
        <f t="shared" si="7"/>
        <v>48</v>
      </c>
      <c r="J25" s="41">
        <v>48</v>
      </c>
      <c r="K25" s="33">
        <f t="shared" si="8"/>
        <v>0</v>
      </c>
      <c r="L25" s="43">
        <f>140+129</f>
        <v>269</v>
      </c>
      <c r="M25" s="34"/>
      <c r="N25" s="40"/>
      <c r="O25" s="53">
        <v>2</v>
      </c>
      <c r="P25" s="37">
        <f t="shared" si="9"/>
        <v>267</v>
      </c>
      <c r="Q25" s="41">
        <f>140+29</f>
        <v>169</v>
      </c>
      <c r="R25" s="33">
        <f t="shared" si="10"/>
        <v>-98</v>
      </c>
      <c r="T25" s="38">
        <f t="shared" si="11"/>
        <v>315</v>
      </c>
    </row>
    <row r="26" spans="1:20" ht="15.75" customHeight="1" x14ac:dyDescent="0.5">
      <c r="A26" s="26" t="s">
        <v>39</v>
      </c>
      <c r="B26" s="27">
        <v>97</v>
      </c>
      <c r="C26" s="28"/>
      <c r="D26" s="29"/>
      <c r="E26" s="42">
        <v>1</v>
      </c>
      <c r="F26" s="30"/>
      <c r="G26" s="30"/>
      <c r="H26" s="31">
        <f t="shared" si="6"/>
        <v>1</v>
      </c>
      <c r="I26" s="32">
        <f t="shared" si="7"/>
        <v>96</v>
      </c>
      <c r="J26" s="41">
        <v>97</v>
      </c>
      <c r="K26" s="33">
        <f t="shared" si="8"/>
        <v>1</v>
      </c>
      <c r="L26" s="43">
        <f>48+96+15</f>
        <v>159</v>
      </c>
      <c r="M26" s="34"/>
      <c r="N26" s="40"/>
      <c r="O26" s="53">
        <v>2</v>
      </c>
      <c r="P26" s="37">
        <f t="shared" si="9"/>
        <v>157</v>
      </c>
      <c r="Q26" s="41">
        <f>48+96+15</f>
        <v>159</v>
      </c>
      <c r="R26" s="33">
        <f t="shared" si="10"/>
        <v>2</v>
      </c>
      <c r="T26" s="38">
        <f t="shared" si="11"/>
        <v>253</v>
      </c>
    </row>
    <row r="27" spans="1:20" ht="15.75" customHeight="1" x14ac:dyDescent="0.5">
      <c r="A27" s="26" t="s">
        <v>40</v>
      </c>
      <c r="B27" s="55">
        <v>163</v>
      </c>
      <c r="C27" s="28"/>
      <c r="D27" s="29"/>
      <c r="E27" s="42">
        <v>48</v>
      </c>
      <c r="F27" s="30"/>
      <c r="G27" s="30"/>
      <c r="H27" s="31">
        <f t="shared" si="6"/>
        <v>48</v>
      </c>
      <c r="I27" s="32">
        <f t="shared" si="7"/>
        <v>115</v>
      </c>
      <c r="J27" s="41">
        <v>180</v>
      </c>
      <c r="K27" s="33">
        <f t="shared" si="8"/>
        <v>65</v>
      </c>
      <c r="L27" s="43">
        <v>23</v>
      </c>
      <c r="M27" s="34"/>
      <c r="N27" s="35">
        <v>1</v>
      </c>
      <c r="O27" s="53">
        <v>24</v>
      </c>
      <c r="P27" s="37">
        <f t="shared" si="9"/>
        <v>0</v>
      </c>
      <c r="Q27" s="41">
        <v>6</v>
      </c>
      <c r="R27" s="33">
        <f t="shared" si="10"/>
        <v>6</v>
      </c>
      <c r="T27" s="38">
        <f t="shared" si="11"/>
        <v>115</v>
      </c>
    </row>
    <row r="28" spans="1:20" ht="15.75" customHeight="1" x14ac:dyDescent="0.5">
      <c r="A28" s="15" t="s">
        <v>41</v>
      </c>
      <c r="B28" s="56"/>
      <c r="C28" s="57"/>
      <c r="D28" s="58"/>
      <c r="E28" s="59"/>
      <c r="F28" s="59"/>
      <c r="G28" s="59"/>
      <c r="H28" s="21"/>
      <c r="I28" s="21"/>
      <c r="J28" s="49"/>
      <c r="K28" s="49"/>
      <c r="L28" s="21"/>
      <c r="M28" s="60"/>
      <c r="N28" s="61"/>
      <c r="O28" s="59"/>
      <c r="P28" s="47"/>
      <c r="Q28" s="49"/>
      <c r="R28" s="49"/>
      <c r="T28" s="47"/>
    </row>
    <row r="29" spans="1:20" ht="15.75" customHeight="1" x14ac:dyDescent="0.5">
      <c r="A29" s="26" t="s">
        <v>20</v>
      </c>
      <c r="B29" s="27">
        <v>120</v>
      </c>
      <c r="C29" s="28"/>
      <c r="D29" s="29"/>
      <c r="E29" s="30"/>
      <c r="F29" s="30"/>
      <c r="G29" s="30"/>
      <c r="H29" s="31">
        <f t="shared" ref="H29:H35" si="12">SUM(E29:G29)</f>
        <v>0</v>
      </c>
      <c r="I29" s="32">
        <f t="shared" ref="I29:I35" si="13">B29-H29+C29+D29</f>
        <v>120</v>
      </c>
      <c r="J29" s="41">
        <v>120</v>
      </c>
      <c r="K29" s="33">
        <f t="shared" ref="K29:K35" si="14">J29-I29</f>
        <v>0</v>
      </c>
      <c r="L29" s="43">
        <v>0</v>
      </c>
      <c r="M29" s="34"/>
      <c r="N29" s="40"/>
      <c r="O29" s="36"/>
      <c r="P29" s="37">
        <f t="shared" ref="P29:P35" si="15">L29-O29+M29+N29</f>
        <v>0</v>
      </c>
      <c r="Q29" s="41"/>
      <c r="R29" s="33">
        <f t="shared" ref="R29:R35" si="16">Q29-P29</f>
        <v>0</v>
      </c>
      <c r="T29" s="38">
        <f t="shared" ref="T29:T35" si="17">I29+P29</f>
        <v>120</v>
      </c>
    </row>
    <row r="30" spans="1:20" ht="15.75" customHeight="1" x14ac:dyDescent="0.5">
      <c r="A30" s="26" t="s">
        <v>21</v>
      </c>
      <c r="B30" s="27">
        <v>0</v>
      </c>
      <c r="C30" s="28"/>
      <c r="D30" s="29"/>
      <c r="E30" s="30"/>
      <c r="F30" s="30"/>
      <c r="G30" s="30"/>
      <c r="H30" s="31">
        <f t="shared" si="12"/>
        <v>0</v>
      </c>
      <c r="I30" s="32">
        <f t="shared" si="13"/>
        <v>0</v>
      </c>
      <c r="J30" s="33"/>
      <c r="K30" s="33">
        <f t="shared" si="14"/>
        <v>0</v>
      </c>
      <c r="L30" s="43">
        <v>0</v>
      </c>
      <c r="M30" s="34"/>
      <c r="N30" s="40"/>
      <c r="O30" s="36"/>
      <c r="P30" s="37">
        <f t="shared" si="15"/>
        <v>0</v>
      </c>
      <c r="Q30" s="33"/>
      <c r="R30" s="33">
        <f t="shared" si="16"/>
        <v>0</v>
      </c>
      <c r="T30" s="38">
        <f t="shared" si="17"/>
        <v>0</v>
      </c>
    </row>
    <row r="31" spans="1:20" ht="15.75" customHeight="1" x14ac:dyDescent="0.5">
      <c r="A31" s="26" t="s">
        <v>42</v>
      </c>
      <c r="B31" s="27">
        <v>0</v>
      </c>
      <c r="C31" s="28"/>
      <c r="D31" s="29"/>
      <c r="E31" s="30"/>
      <c r="F31" s="30"/>
      <c r="G31" s="30"/>
      <c r="H31" s="31">
        <f t="shared" si="12"/>
        <v>0</v>
      </c>
      <c r="I31" s="32">
        <f t="shared" si="13"/>
        <v>0</v>
      </c>
      <c r="J31" s="33"/>
      <c r="K31" s="33">
        <f t="shared" si="14"/>
        <v>0</v>
      </c>
      <c r="L31" s="43">
        <v>0</v>
      </c>
      <c r="M31" s="34"/>
      <c r="N31" s="40"/>
      <c r="O31" s="36"/>
      <c r="P31" s="37">
        <f t="shared" si="15"/>
        <v>0</v>
      </c>
      <c r="Q31" s="33"/>
      <c r="R31" s="33">
        <f t="shared" si="16"/>
        <v>0</v>
      </c>
      <c r="T31" s="38">
        <f t="shared" si="17"/>
        <v>0</v>
      </c>
    </row>
    <row r="32" spans="1:20" ht="15.75" customHeight="1" x14ac:dyDescent="0.5">
      <c r="A32" s="26" t="s">
        <v>22</v>
      </c>
      <c r="B32" s="27">
        <v>0</v>
      </c>
      <c r="C32" s="28"/>
      <c r="D32" s="29"/>
      <c r="E32" s="30"/>
      <c r="F32" s="30"/>
      <c r="G32" s="30"/>
      <c r="H32" s="31">
        <f t="shared" si="12"/>
        <v>0</v>
      </c>
      <c r="I32" s="32">
        <f t="shared" si="13"/>
        <v>0</v>
      </c>
      <c r="J32" s="33"/>
      <c r="K32" s="33">
        <f t="shared" si="14"/>
        <v>0</v>
      </c>
      <c r="L32" s="43">
        <v>0</v>
      </c>
      <c r="M32" s="34"/>
      <c r="N32" s="40"/>
      <c r="O32" s="36"/>
      <c r="P32" s="37">
        <f t="shared" si="15"/>
        <v>0</v>
      </c>
      <c r="Q32" s="33"/>
      <c r="R32" s="33">
        <f t="shared" si="16"/>
        <v>0</v>
      </c>
      <c r="T32" s="38">
        <f t="shared" si="17"/>
        <v>0</v>
      </c>
    </row>
    <row r="33" spans="1:20" ht="15.75" customHeight="1" x14ac:dyDescent="0.5">
      <c r="A33" s="26" t="s">
        <v>23</v>
      </c>
      <c r="B33" s="27">
        <v>396</v>
      </c>
      <c r="C33" s="28"/>
      <c r="D33" s="29"/>
      <c r="E33" s="30"/>
      <c r="F33" s="30"/>
      <c r="G33" s="30"/>
      <c r="H33" s="31">
        <f t="shared" si="12"/>
        <v>0</v>
      </c>
      <c r="I33" s="32">
        <f t="shared" si="13"/>
        <v>396</v>
      </c>
      <c r="J33" s="41">
        <v>396</v>
      </c>
      <c r="K33" s="33">
        <f t="shared" si="14"/>
        <v>0</v>
      </c>
      <c r="L33" s="43">
        <v>10</v>
      </c>
      <c r="M33" s="34"/>
      <c r="N33" s="35"/>
      <c r="O33" s="53">
        <v>2</v>
      </c>
      <c r="P33" s="37">
        <f t="shared" si="15"/>
        <v>8</v>
      </c>
      <c r="Q33" s="41">
        <v>10</v>
      </c>
      <c r="R33" s="33">
        <f t="shared" si="16"/>
        <v>2</v>
      </c>
      <c r="T33" s="38">
        <f t="shared" si="17"/>
        <v>404</v>
      </c>
    </row>
    <row r="34" spans="1:20" ht="15.75" customHeight="1" x14ac:dyDescent="0.5">
      <c r="A34" s="26" t="s">
        <v>25</v>
      </c>
      <c r="B34" s="27">
        <f>96+8</f>
        <v>104</v>
      </c>
      <c r="C34" s="28"/>
      <c r="D34" s="39">
        <v>2</v>
      </c>
      <c r="E34" s="42">
        <v>10</v>
      </c>
      <c r="F34" s="42">
        <v>12</v>
      </c>
      <c r="G34" s="30"/>
      <c r="H34" s="31">
        <f t="shared" si="12"/>
        <v>22</v>
      </c>
      <c r="I34" s="32">
        <f t="shared" si="13"/>
        <v>84</v>
      </c>
      <c r="J34" s="41">
        <v>104</v>
      </c>
      <c r="K34" s="33">
        <f t="shared" si="14"/>
        <v>20</v>
      </c>
      <c r="L34" s="43">
        <f>56+4</f>
        <v>60</v>
      </c>
      <c r="M34" s="34"/>
      <c r="N34" s="40"/>
      <c r="O34" s="53">
        <v>14</v>
      </c>
      <c r="P34" s="37">
        <f t="shared" si="15"/>
        <v>46</v>
      </c>
      <c r="Q34" s="41">
        <v>60</v>
      </c>
      <c r="R34" s="33">
        <f t="shared" si="16"/>
        <v>14</v>
      </c>
      <c r="T34" s="38">
        <f t="shared" si="17"/>
        <v>130</v>
      </c>
    </row>
    <row r="35" spans="1:20" ht="15.75" customHeight="1" x14ac:dyDescent="0.5">
      <c r="A35" s="26" t="s">
        <v>26</v>
      </c>
      <c r="B35" s="27">
        <f>12+1+36</f>
        <v>49</v>
      </c>
      <c r="C35" s="28"/>
      <c r="D35" s="29"/>
      <c r="E35" s="42">
        <v>12</v>
      </c>
      <c r="F35" s="30"/>
      <c r="G35" s="30"/>
      <c r="H35" s="31">
        <f t="shared" si="12"/>
        <v>12</v>
      </c>
      <c r="I35" s="32">
        <f t="shared" si="13"/>
        <v>37</v>
      </c>
      <c r="J35" s="33">
        <f>13+36</f>
        <v>49</v>
      </c>
      <c r="K35" s="33">
        <f t="shared" si="14"/>
        <v>12</v>
      </c>
      <c r="L35" s="43">
        <v>8</v>
      </c>
      <c r="M35" s="34"/>
      <c r="N35" s="40"/>
      <c r="O35" s="53">
        <v>3</v>
      </c>
      <c r="P35" s="37">
        <f t="shared" si="15"/>
        <v>5</v>
      </c>
      <c r="Q35" s="41">
        <v>8</v>
      </c>
      <c r="R35" s="33">
        <f t="shared" si="16"/>
        <v>3</v>
      </c>
      <c r="T35" s="38">
        <f t="shared" si="17"/>
        <v>42</v>
      </c>
    </row>
    <row r="36" spans="1:20" ht="15.75" customHeight="1" x14ac:dyDescent="0.5">
      <c r="A36" s="15" t="s">
        <v>43</v>
      </c>
      <c r="B36" s="62"/>
      <c r="C36" s="57"/>
      <c r="D36" s="58"/>
      <c r="E36" s="59"/>
      <c r="F36" s="59"/>
      <c r="G36" s="59"/>
      <c r="H36" s="21"/>
      <c r="I36" s="21"/>
      <c r="J36" s="49"/>
      <c r="K36" s="49"/>
      <c r="L36" s="21"/>
      <c r="M36" s="60"/>
      <c r="N36" s="61"/>
      <c r="O36" s="59"/>
      <c r="P36" s="47"/>
      <c r="Q36" s="49"/>
      <c r="R36" s="49"/>
      <c r="T36" s="47"/>
    </row>
    <row r="37" spans="1:20" ht="15.75" customHeight="1" x14ac:dyDescent="0.5">
      <c r="A37" s="26" t="s">
        <v>29</v>
      </c>
      <c r="B37" s="27">
        <f>48+7+96+120+96</f>
        <v>367</v>
      </c>
      <c r="C37" s="63"/>
      <c r="D37" s="29"/>
      <c r="E37" s="42">
        <v>10</v>
      </c>
      <c r="F37" s="30"/>
      <c r="G37" s="30"/>
      <c r="H37" s="31">
        <f t="shared" ref="H37:H51" si="18">SUM(E37:G37)</f>
        <v>10</v>
      </c>
      <c r="I37" s="32">
        <f t="shared" ref="I37:I51" si="19">B37-H37+C37+D37</f>
        <v>357</v>
      </c>
      <c r="J37" s="33">
        <f>48+7+96+120+96</f>
        <v>367</v>
      </c>
      <c r="K37" s="33">
        <f t="shared" ref="K37:K51" si="20">J37-I37</f>
        <v>10</v>
      </c>
      <c r="L37" s="43">
        <f>24+2+48+49</f>
        <v>123</v>
      </c>
      <c r="M37" s="64">
        <v>111</v>
      </c>
      <c r="N37" s="35">
        <v>2</v>
      </c>
      <c r="O37" s="53">
        <v>32</v>
      </c>
      <c r="P37" s="37">
        <f t="shared" ref="P37:P51" si="21">L37-O37+M37+N37</f>
        <v>204</v>
      </c>
      <c r="Q37" s="33">
        <f>24+2+48+19</f>
        <v>93</v>
      </c>
      <c r="R37" s="33">
        <f t="shared" ref="R37:R51" si="22">Q37-P37</f>
        <v>-111</v>
      </c>
      <c r="T37" s="38">
        <f t="shared" ref="T37:T51" si="23">I37+P37</f>
        <v>561</v>
      </c>
    </row>
    <row r="38" spans="1:20" ht="15.75" customHeight="1" x14ac:dyDescent="0.5">
      <c r="A38" s="26" t="s">
        <v>44</v>
      </c>
      <c r="B38" s="27">
        <v>77</v>
      </c>
      <c r="C38" s="55">
        <v>100</v>
      </c>
      <c r="D38" s="29"/>
      <c r="E38" s="42">
        <v>8</v>
      </c>
      <c r="F38" s="30"/>
      <c r="G38" s="30"/>
      <c r="H38" s="31">
        <f t="shared" si="18"/>
        <v>8</v>
      </c>
      <c r="I38" s="32">
        <f t="shared" si="19"/>
        <v>169</v>
      </c>
      <c r="J38" s="41">
        <v>77</v>
      </c>
      <c r="K38" s="33">
        <f t="shared" si="20"/>
        <v>-92</v>
      </c>
      <c r="L38" s="43">
        <v>96</v>
      </c>
      <c r="M38" s="64"/>
      <c r="N38" s="40"/>
      <c r="O38" s="53">
        <v>2</v>
      </c>
      <c r="P38" s="37">
        <f t="shared" si="21"/>
        <v>94</v>
      </c>
      <c r="Q38" s="41">
        <v>96</v>
      </c>
      <c r="R38" s="33">
        <f t="shared" si="22"/>
        <v>2</v>
      </c>
      <c r="T38" s="38">
        <f t="shared" si="23"/>
        <v>263</v>
      </c>
    </row>
    <row r="39" spans="1:20" ht="15.75" customHeight="1" x14ac:dyDescent="0.5">
      <c r="A39" s="26" t="s">
        <v>30</v>
      </c>
      <c r="B39" s="27">
        <f>96+5+120+96+16+240+240+120+96+106+20</f>
        <v>1155</v>
      </c>
      <c r="C39" s="55">
        <f>94+117</f>
        <v>211</v>
      </c>
      <c r="D39" s="39">
        <v>10</v>
      </c>
      <c r="E39" s="42">
        <f>60+255</f>
        <v>315</v>
      </c>
      <c r="F39" s="42">
        <f>35+20</f>
        <v>55</v>
      </c>
      <c r="G39" s="30"/>
      <c r="H39" s="31">
        <f t="shared" si="18"/>
        <v>370</v>
      </c>
      <c r="I39" s="32">
        <f t="shared" si="19"/>
        <v>1006</v>
      </c>
      <c r="J39" s="41">
        <f>101+120+96+136+240+240+106+116</f>
        <v>1155</v>
      </c>
      <c r="K39" s="33">
        <f t="shared" si="20"/>
        <v>149</v>
      </c>
      <c r="L39" s="43">
        <v>81</v>
      </c>
      <c r="M39" s="64">
        <v>208</v>
      </c>
      <c r="N39" s="35">
        <v>1</v>
      </c>
      <c r="O39" s="53">
        <v>95</v>
      </c>
      <c r="P39" s="37">
        <f t="shared" si="21"/>
        <v>195</v>
      </c>
      <c r="Q39" s="41">
        <v>81</v>
      </c>
      <c r="R39" s="33">
        <f t="shared" si="22"/>
        <v>-114</v>
      </c>
      <c r="T39" s="38">
        <f t="shared" si="23"/>
        <v>1201</v>
      </c>
    </row>
    <row r="40" spans="1:20" ht="15.75" customHeight="1" x14ac:dyDescent="0.5">
      <c r="A40" s="26" t="s">
        <v>31</v>
      </c>
      <c r="B40" s="27">
        <v>154</v>
      </c>
      <c r="C40" s="63"/>
      <c r="D40" s="29"/>
      <c r="E40" s="30"/>
      <c r="F40" s="30"/>
      <c r="G40" s="30"/>
      <c r="H40" s="31">
        <f t="shared" si="18"/>
        <v>0</v>
      </c>
      <c r="I40" s="32">
        <f t="shared" si="19"/>
        <v>154</v>
      </c>
      <c r="J40" s="41">
        <f>24+18</f>
        <v>42</v>
      </c>
      <c r="K40" s="33">
        <f t="shared" si="20"/>
        <v>-112</v>
      </c>
      <c r="L40" s="43">
        <v>72</v>
      </c>
      <c r="M40" s="34"/>
      <c r="N40" s="40"/>
      <c r="O40" s="53">
        <v>10</v>
      </c>
      <c r="P40" s="37">
        <f t="shared" si="21"/>
        <v>62</v>
      </c>
      <c r="Q40" s="41">
        <f>72+14+24+8</f>
        <v>118</v>
      </c>
      <c r="R40" s="33">
        <f t="shared" si="22"/>
        <v>56</v>
      </c>
      <c r="T40" s="38">
        <f t="shared" si="23"/>
        <v>216</v>
      </c>
    </row>
    <row r="41" spans="1:20" ht="15.75" customHeight="1" x14ac:dyDescent="0.5">
      <c r="A41" s="26" t="s">
        <v>32</v>
      </c>
      <c r="B41" s="27">
        <f>48+21</f>
        <v>69</v>
      </c>
      <c r="C41" s="63"/>
      <c r="D41" s="29"/>
      <c r="E41" s="42">
        <v>17</v>
      </c>
      <c r="F41" s="30"/>
      <c r="G41" s="30"/>
      <c r="H41" s="31">
        <f t="shared" si="18"/>
        <v>17</v>
      </c>
      <c r="I41" s="32">
        <f t="shared" si="19"/>
        <v>52</v>
      </c>
      <c r="J41" s="41">
        <f>48+21</f>
        <v>69</v>
      </c>
      <c r="K41" s="33">
        <f t="shared" si="20"/>
        <v>17</v>
      </c>
      <c r="L41" s="43">
        <f>96+48+1</f>
        <v>145</v>
      </c>
      <c r="M41" s="34"/>
      <c r="N41" s="40"/>
      <c r="O41" s="53">
        <v>30</v>
      </c>
      <c r="P41" s="37">
        <f t="shared" si="21"/>
        <v>115</v>
      </c>
      <c r="Q41" s="41">
        <f>96+49</f>
        <v>145</v>
      </c>
      <c r="R41" s="33">
        <f t="shared" si="22"/>
        <v>30</v>
      </c>
      <c r="T41" s="38">
        <f t="shared" si="23"/>
        <v>167</v>
      </c>
    </row>
    <row r="42" spans="1:20" ht="15.75" customHeight="1" x14ac:dyDescent="0.5">
      <c r="A42" s="26" t="s">
        <v>33</v>
      </c>
      <c r="B42" s="55">
        <f>96+12+120+120+120</f>
        <v>468</v>
      </c>
      <c r="C42" s="63"/>
      <c r="D42" s="39">
        <v>10</v>
      </c>
      <c r="E42" s="42">
        <f>20+55</f>
        <v>75</v>
      </c>
      <c r="F42" s="42">
        <f>30+20</f>
        <v>50</v>
      </c>
      <c r="G42" s="42">
        <v>60</v>
      </c>
      <c r="H42" s="31">
        <f t="shared" si="18"/>
        <v>185</v>
      </c>
      <c r="I42" s="32">
        <f t="shared" si="19"/>
        <v>293</v>
      </c>
      <c r="J42" s="33">
        <f>96+12+240+120</f>
        <v>468</v>
      </c>
      <c r="K42" s="33">
        <f t="shared" si="20"/>
        <v>175</v>
      </c>
      <c r="L42" s="43">
        <f>96+8+96</f>
        <v>200</v>
      </c>
      <c r="M42" s="34"/>
      <c r="N42" s="40"/>
      <c r="O42" s="53">
        <v>29</v>
      </c>
      <c r="P42" s="37">
        <f t="shared" si="21"/>
        <v>171</v>
      </c>
      <c r="Q42" s="33">
        <f>96+8+96</f>
        <v>200</v>
      </c>
      <c r="R42" s="33">
        <f t="shared" si="22"/>
        <v>29</v>
      </c>
      <c r="T42" s="38">
        <f t="shared" si="23"/>
        <v>464</v>
      </c>
    </row>
    <row r="43" spans="1:20" ht="15.75" customHeight="1" x14ac:dyDescent="0.5">
      <c r="A43" s="26" t="s">
        <v>34</v>
      </c>
      <c r="B43" s="55">
        <f>72+15+120</f>
        <v>207</v>
      </c>
      <c r="C43" s="63"/>
      <c r="D43" s="29"/>
      <c r="E43" s="42">
        <v>5</v>
      </c>
      <c r="F43" s="42">
        <f>26+16</f>
        <v>42</v>
      </c>
      <c r="G43" s="30"/>
      <c r="H43" s="31">
        <f t="shared" si="18"/>
        <v>47</v>
      </c>
      <c r="I43" s="32">
        <f t="shared" si="19"/>
        <v>160</v>
      </c>
      <c r="J43" s="33">
        <f>72+15+120</f>
        <v>207</v>
      </c>
      <c r="K43" s="33">
        <f t="shared" si="20"/>
        <v>47</v>
      </c>
      <c r="L43" s="43">
        <f>20+120+21+30</f>
        <v>191</v>
      </c>
      <c r="M43" s="34"/>
      <c r="N43" s="35">
        <v>1</v>
      </c>
      <c r="O43" s="53">
        <v>76</v>
      </c>
      <c r="P43" s="37">
        <f t="shared" si="21"/>
        <v>116</v>
      </c>
      <c r="Q43" s="33">
        <f>140+214+30</f>
        <v>384</v>
      </c>
      <c r="R43" s="33">
        <f t="shared" si="22"/>
        <v>268</v>
      </c>
      <c r="T43" s="38">
        <f t="shared" si="23"/>
        <v>276</v>
      </c>
    </row>
    <row r="44" spans="1:20" ht="15.75" customHeight="1" x14ac:dyDescent="0.5">
      <c r="A44" s="26" t="s">
        <v>23</v>
      </c>
      <c r="B44" s="55">
        <f>24+11</f>
        <v>35</v>
      </c>
      <c r="C44" s="55">
        <v>149</v>
      </c>
      <c r="D44" s="29"/>
      <c r="E44" s="30"/>
      <c r="F44" s="30"/>
      <c r="G44" s="30"/>
      <c r="H44" s="31">
        <f t="shared" si="18"/>
        <v>0</v>
      </c>
      <c r="I44" s="32">
        <f t="shared" si="19"/>
        <v>184</v>
      </c>
      <c r="J44" s="33">
        <f>24+11</f>
        <v>35</v>
      </c>
      <c r="K44" s="33">
        <f t="shared" si="20"/>
        <v>-149</v>
      </c>
      <c r="L44" s="43">
        <f>72+15</f>
        <v>87</v>
      </c>
      <c r="M44" s="64">
        <v>43</v>
      </c>
      <c r="N44" s="35">
        <v>1</v>
      </c>
      <c r="O44" s="53">
        <v>14</v>
      </c>
      <c r="P44" s="37">
        <f t="shared" si="21"/>
        <v>117</v>
      </c>
      <c r="Q44" s="33">
        <f>72+15</f>
        <v>87</v>
      </c>
      <c r="R44" s="33">
        <f t="shared" si="22"/>
        <v>-30</v>
      </c>
      <c r="T44" s="38">
        <f t="shared" si="23"/>
        <v>301</v>
      </c>
    </row>
    <row r="45" spans="1:20" ht="15.75" customHeight="1" x14ac:dyDescent="0.5">
      <c r="A45" s="26" t="s">
        <v>35</v>
      </c>
      <c r="B45" s="55">
        <f>228+3+288+96+96+26+26+20</f>
        <v>783</v>
      </c>
      <c r="C45" s="55">
        <f>173+171</f>
        <v>344</v>
      </c>
      <c r="D45" s="39">
        <v>2</v>
      </c>
      <c r="E45" s="42">
        <f>70+161</f>
        <v>231</v>
      </c>
      <c r="F45" s="42">
        <f>26+17+12</f>
        <v>55</v>
      </c>
      <c r="G45" s="30"/>
      <c r="H45" s="31">
        <f t="shared" si="18"/>
        <v>286</v>
      </c>
      <c r="I45" s="32">
        <f t="shared" si="19"/>
        <v>843</v>
      </c>
      <c r="J45" s="33">
        <f>228+3+288+96+96+26+26+20</f>
        <v>783</v>
      </c>
      <c r="K45" s="33">
        <f t="shared" si="20"/>
        <v>-60</v>
      </c>
      <c r="L45" s="43">
        <f>48+21</f>
        <v>69</v>
      </c>
      <c r="M45" s="64">
        <v>122</v>
      </c>
      <c r="N45" s="35">
        <v>7</v>
      </c>
      <c r="O45" s="53">
        <v>110</v>
      </c>
      <c r="P45" s="37">
        <f t="shared" si="21"/>
        <v>88</v>
      </c>
      <c r="Q45" s="33">
        <f>48+21</f>
        <v>69</v>
      </c>
      <c r="R45" s="33">
        <f t="shared" si="22"/>
        <v>-19</v>
      </c>
      <c r="T45" s="38">
        <f t="shared" si="23"/>
        <v>931</v>
      </c>
    </row>
    <row r="46" spans="1:20" ht="15.75" customHeight="1" x14ac:dyDescent="0.5">
      <c r="A46" s="26" t="s">
        <v>36</v>
      </c>
      <c r="B46" s="55">
        <f>96+6</f>
        <v>102</v>
      </c>
      <c r="C46" s="55">
        <v>99</v>
      </c>
      <c r="D46" s="29"/>
      <c r="E46" s="30"/>
      <c r="F46" s="30"/>
      <c r="G46" s="30"/>
      <c r="H46" s="31">
        <f t="shared" si="18"/>
        <v>0</v>
      </c>
      <c r="I46" s="32">
        <f t="shared" si="19"/>
        <v>201</v>
      </c>
      <c r="J46" s="41">
        <v>102</v>
      </c>
      <c r="K46" s="33">
        <f t="shared" si="20"/>
        <v>-99</v>
      </c>
      <c r="L46" s="43">
        <f>72+23</f>
        <v>95</v>
      </c>
      <c r="M46" s="34"/>
      <c r="N46" s="40"/>
      <c r="O46" s="53">
        <v>14</v>
      </c>
      <c r="P46" s="37">
        <f t="shared" si="21"/>
        <v>81</v>
      </c>
      <c r="Q46" s="41">
        <v>95</v>
      </c>
      <c r="R46" s="33">
        <f t="shared" si="22"/>
        <v>14</v>
      </c>
      <c r="T46" s="38">
        <f t="shared" si="23"/>
        <v>282</v>
      </c>
    </row>
    <row r="47" spans="1:20" ht="15.75" customHeight="1" x14ac:dyDescent="0.5">
      <c r="A47" s="26" t="s">
        <v>24</v>
      </c>
      <c r="B47" s="55">
        <f>72+296+6</f>
        <v>374</v>
      </c>
      <c r="C47" s="63"/>
      <c r="D47" s="39">
        <v>4</v>
      </c>
      <c r="E47" s="42">
        <f>45+16</f>
        <v>61</v>
      </c>
      <c r="F47" s="42">
        <v>12</v>
      </c>
      <c r="G47" s="30"/>
      <c r="H47" s="31">
        <f t="shared" si="18"/>
        <v>73</v>
      </c>
      <c r="I47" s="32">
        <f t="shared" si="19"/>
        <v>305</v>
      </c>
      <c r="J47" s="33">
        <f>2+96+6</f>
        <v>104</v>
      </c>
      <c r="K47" s="33">
        <f t="shared" si="20"/>
        <v>-201</v>
      </c>
      <c r="L47" s="43">
        <f>48+19+48+120+96+8+120+120+120+96+8</f>
        <v>803</v>
      </c>
      <c r="M47" s="64">
        <v>584</v>
      </c>
      <c r="N47" s="35">
        <v>7</v>
      </c>
      <c r="O47" s="53">
        <v>387</v>
      </c>
      <c r="P47" s="37">
        <f t="shared" si="21"/>
        <v>1007</v>
      </c>
      <c r="Q47" s="33">
        <f>48+48+120+96+8+240+120+96+8</f>
        <v>784</v>
      </c>
      <c r="R47" s="33">
        <f t="shared" si="22"/>
        <v>-223</v>
      </c>
      <c r="T47" s="38">
        <f t="shared" si="23"/>
        <v>1312</v>
      </c>
    </row>
    <row r="48" spans="1:20" ht="15.75" customHeight="1" x14ac:dyDescent="0.5">
      <c r="A48" s="26" t="s">
        <v>37</v>
      </c>
      <c r="B48" s="55">
        <f>76+72+96+5+96</f>
        <v>345</v>
      </c>
      <c r="C48" s="63"/>
      <c r="D48" s="29"/>
      <c r="E48" s="42">
        <v>22</v>
      </c>
      <c r="F48" s="42">
        <v>10</v>
      </c>
      <c r="G48" s="30"/>
      <c r="H48" s="31">
        <f t="shared" si="18"/>
        <v>32</v>
      </c>
      <c r="I48" s="32">
        <f t="shared" si="19"/>
        <v>313</v>
      </c>
      <c r="J48" s="33">
        <f>76+72+101+96</f>
        <v>345</v>
      </c>
      <c r="K48" s="33">
        <f t="shared" si="20"/>
        <v>32</v>
      </c>
      <c r="L48" s="43">
        <f>22+48+4</f>
        <v>74</v>
      </c>
      <c r="M48" s="64">
        <v>96</v>
      </c>
      <c r="N48" s="35">
        <v>2</v>
      </c>
      <c r="O48" s="53">
        <v>64</v>
      </c>
      <c r="P48" s="37">
        <f t="shared" si="21"/>
        <v>108</v>
      </c>
      <c r="Q48" s="33">
        <f>22+48+4</f>
        <v>74</v>
      </c>
      <c r="R48" s="33">
        <f t="shared" si="22"/>
        <v>-34</v>
      </c>
      <c r="T48" s="38">
        <f t="shared" si="23"/>
        <v>421</v>
      </c>
    </row>
    <row r="49" spans="1:20" ht="15.75" customHeight="1" x14ac:dyDescent="0.5">
      <c r="A49" s="26" t="s">
        <v>38</v>
      </c>
      <c r="B49" s="55">
        <v>48</v>
      </c>
      <c r="C49" s="63"/>
      <c r="D49" s="29"/>
      <c r="E49" s="42">
        <v>4</v>
      </c>
      <c r="F49" s="30"/>
      <c r="G49" s="30"/>
      <c r="H49" s="31">
        <f t="shared" si="18"/>
        <v>4</v>
      </c>
      <c r="I49" s="32">
        <f t="shared" si="19"/>
        <v>44</v>
      </c>
      <c r="J49" s="41">
        <v>48</v>
      </c>
      <c r="K49" s="33">
        <f t="shared" si="20"/>
        <v>4</v>
      </c>
      <c r="L49" s="43">
        <v>97</v>
      </c>
      <c r="M49" s="34"/>
      <c r="N49" s="35">
        <v>3</v>
      </c>
      <c r="O49" s="53">
        <v>30</v>
      </c>
      <c r="P49" s="37">
        <f t="shared" si="21"/>
        <v>70</v>
      </c>
      <c r="Q49" s="41">
        <v>97</v>
      </c>
      <c r="R49" s="33">
        <f t="shared" si="22"/>
        <v>27</v>
      </c>
      <c r="T49" s="38">
        <f t="shared" si="23"/>
        <v>114</v>
      </c>
    </row>
    <row r="50" spans="1:20" ht="15.75" customHeight="1" x14ac:dyDescent="0.5">
      <c r="A50" s="26" t="s">
        <v>39</v>
      </c>
      <c r="B50" s="55">
        <f>56+36+280</f>
        <v>372</v>
      </c>
      <c r="C50" s="28"/>
      <c r="D50" s="29"/>
      <c r="E50" s="42">
        <v>4</v>
      </c>
      <c r="F50" s="30"/>
      <c r="G50" s="30"/>
      <c r="H50" s="31">
        <f t="shared" si="18"/>
        <v>4</v>
      </c>
      <c r="I50" s="32">
        <f t="shared" si="19"/>
        <v>368</v>
      </c>
      <c r="J50" s="33">
        <f>56+36+280</f>
        <v>372</v>
      </c>
      <c r="K50" s="33">
        <f t="shared" si="20"/>
        <v>4</v>
      </c>
      <c r="L50" s="43">
        <v>109</v>
      </c>
      <c r="M50" s="34"/>
      <c r="N50" s="40"/>
      <c r="O50" s="53">
        <v>26</v>
      </c>
      <c r="P50" s="37">
        <f t="shared" si="21"/>
        <v>83</v>
      </c>
      <c r="Q50" s="33"/>
      <c r="R50" s="33">
        <f t="shared" si="22"/>
        <v>-83</v>
      </c>
      <c r="T50" s="38">
        <f t="shared" si="23"/>
        <v>451</v>
      </c>
    </row>
    <row r="51" spans="1:20" ht="15.75" customHeight="1" x14ac:dyDescent="0.5">
      <c r="A51" s="26" t="s">
        <v>40</v>
      </c>
      <c r="B51" s="55">
        <v>0</v>
      </c>
      <c r="C51" s="28"/>
      <c r="D51" s="29"/>
      <c r="E51" s="30"/>
      <c r="F51" s="30"/>
      <c r="G51" s="30"/>
      <c r="H51" s="31">
        <f t="shared" si="18"/>
        <v>0</v>
      </c>
      <c r="I51" s="32">
        <f t="shared" si="19"/>
        <v>0</v>
      </c>
      <c r="J51" s="33"/>
      <c r="K51" s="33">
        <f t="shared" si="20"/>
        <v>0</v>
      </c>
      <c r="L51" s="43">
        <v>83</v>
      </c>
      <c r="M51" s="34"/>
      <c r="N51" s="40"/>
      <c r="O51" s="53">
        <v>19</v>
      </c>
      <c r="P51" s="37">
        <f t="shared" si="21"/>
        <v>64</v>
      </c>
      <c r="Q51" s="41">
        <v>96</v>
      </c>
      <c r="R51" s="33">
        <f t="shared" si="22"/>
        <v>32</v>
      </c>
      <c r="T51" s="38">
        <f t="shared" si="23"/>
        <v>64</v>
      </c>
    </row>
    <row r="52" spans="1:20" ht="15.75" customHeight="1" x14ac:dyDescent="0.5">
      <c r="A52" s="65" t="s">
        <v>45</v>
      </c>
      <c r="B52" s="66"/>
      <c r="C52" s="67"/>
      <c r="D52" s="58"/>
      <c r="E52" s="59"/>
      <c r="F52" s="59"/>
      <c r="G52" s="59"/>
      <c r="H52" s="21"/>
      <c r="I52" s="21"/>
      <c r="J52" s="49"/>
      <c r="K52" s="49"/>
      <c r="L52" s="68"/>
      <c r="M52" s="60"/>
      <c r="N52" s="61"/>
      <c r="O52" s="59"/>
      <c r="P52" s="21"/>
      <c r="Q52" s="49"/>
      <c r="R52" s="49"/>
      <c r="T52" s="21"/>
    </row>
    <row r="53" spans="1:20" ht="15.75" customHeight="1" x14ac:dyDescent="0.5">
      <c r="A53" s="26" t="s">
        <v>20</v>
      </c>
      <c r="B53" s="27">
        <v>0</v>
      </c>
      <c r="C53" s="28"/>
      <c r="D53" s="29"/>
      <c r="E53" s="30"/>
      <c r="F53" s="30"/>
      <c r="G53" s="30"/>
      <c r="H53" s="31">
        <f t="shared" ref="H53:H57" si="24">SUM(E53:G53)</f>
        <v>0</v>
      </c>
      <c r="I53" s="32">
        <f t="shared" ref="I53:I57" si="25">B53-H53+C53+D53</f>
        <v>0</v>
      </c>
      <c r="J53" s="33"/>
      <c r="K53" s="33">
        <f t="shared" ref="K53:K57" si="26">J53-I53</f>
        <v>0</v>
      </c>
      <c r="L53" s="43">
        <f>120+5</f>
        <v>125</v>
      </c>
      <c r="M53" s="34"/>
      <c r="N53" s="35">
        <v>1</v>
      </c>
      <c r="O53" s="53">
        <v>17</v>
      </c>
      <c r="P53" s="37">
        <f t="shared" ref="P53:P57" si="27">L53-O53+M53+N53</f>
        <v>109</v>
      </c>
      <c r="Q53" s="41">
        <v>125</v>
      </c>
      <c r="R53" s="33">
        <f t="shared" ref="R53:R57" si="28">Q53-P53</f>
        <v>16</v>
      </c>
      <c r="T53" s="38">
        <f t="shared" ref="T53:T65" si="29">I53+P53</f>
        <v>109</v>
      </c>
    </row>
    <row r="54" spans="1:20" ht="15.75" customHeight="1" x14ac:dyDescent="0.5">
      <c r="A54" s="26" t="s">
        <v>21</v>
      </c>
      <c r="B54" s="27">
        <v>0</v>
      </c>
      <c r="C54" s="28"/>
      <c r="D54" s="29"/>
      <c r="E54" s="30"/>
      <c r="F54" s="30"/>
      <c r="G54" s="30"/>
      <c r="H54" s="31">
        <f t="shared" si="24"/>
        <v>0</v>
      </c>
      <c r="I54" s="32">
        <f t="shared" si="25"/>
        <v>0</v>
      </c>
      <c r="J54" s="33"/>
      <c r="K54" s="33">
        <f t="shared" si="26"/>
        <v>0</v>
      </c>
      <c r="L54" s="43">
        <v>58</v>
      </c>
      <c r="M54" s="34"/>
      <c r="N54" s="40"/>
      <c r="O54" s="53">
        <v>17</v>
      </c>
      <c r="P54" s="37">
        <f t="shared" si="27"/>
        <v>41</v>
      </c>
      <c r="Q54" s="41">
        <v>58</v>
      </c>
      <c r="R54" s="33">
        <f t="shared" si="28"/>
        <v>17</v>
      </c>
      <c r="T54" s="38">
        <f t="shared" si="29"/>
        <v>41</v>
      </c>
    </row>
    <row r="55" spans="1:20" ht="15.75" customHeight="1" x14ac:dyDescent="0.5">
      <c r="A55" s="26" t="s">
        <v>22</v>
      </c>
      <c r="B55" s="27">
        <v>0</v>
      </c>
      <c r="C55" s="28"/>
      <c r="D55" s="29"/>
      <c r="E55" s="30"/>
      <c r="F55" s="30"/>
      <c r="G55" s="30"/>
      <c r="H55" s="31">
        <f t="shared" si="24"/>
        <v>0</v>
      </c>
      <c r="I55" s="32">
        <f t="shared" si="25"/>
        <v>0</v>
      </c>
      <c r="J55" s="33"/>
      <c r="K55" s="33">
        <f t="shared" si="26"/>
        <v>0</v>
      </c>
      <c r="L55" s="43">
        <f>48+22</f>
        <v>70</v>
      </c>
      <c r="M55" s="34"/>
      <c r="N55" s="40"/>
      <c r="O55" s="53">
        <v>9</v>
      </c>
      <c r="P55" s="37">
        <f t="shared" si="27"/>
        <v>61</v>
      </c>
      <c r="Q55" s="33">
        <f>48+22</f>
        <v>70</v>
      </c>
      <c r="R55" s="33">
        <f t="shared" si="28"/>
        <v>9</v>
      </c>
      <c r="T55" s="38">
        <f t="shared" si="29"/>
        <v>61</v>
      </c>
    </row>
    <row r="56" spans="1:20" ht="15.75" customHeight="1" x14ac:dyDescent="0.5">
      <c r="A56" s="26" t="s">
        <v>23</v>
      </c>
      <c r="B56" s="27">
        <v>0</v>
      </c>
      <c r="C56" s="28"/>
      <c r="D56" s="29"/>
      <c r="E56" s="30"/>
      <c r="F56" s="30"/>
      <c r="G56" s="30"/>
      <c r="H56" s="31">
        <f t="shared" si="24"/>
        <v>0</v>
      </c>
      <c r="I56" s="32">
        <f t="shared" si="25"/>
        <v>0</v>
      </c>
      <c r="J56" s="33"/>
      <c r="K56" s="33">
        <f t="shared" si="26"/>
        <v>0</v>
      </c>
      <c r="L56" s="43">
        <f>48+2</f>
        <v>50</v>
      </c>
      <c r="M56" s="34"/>
      <c r="N56" s="40"/>
      <c r="O56" s="53">
        <v>4</v>
      </c>
      <c r="P56" s="37">
        <f t="shared" si="27"/>
        <v>46</v>
      </c>
      <c r="Q56" s="33">
        <f>48+2</f>
        <v>50</v>
      </c>
      <c r="R56" s="33">
        <f t="shared" si="28"/>
        <v>4</v>
      </c>
      <c r="T56" s="38">
        <f t="shared" si="29"/>
        <v>46</v>
      </c>
    </row>
    <row r="57" spans="1:20" ht="18" customHeight="1" x14ac:dyDescent="0.5">
      <c r="A57" s="26" t="s">
        <v>25</v>
      </c>
      <c r="B57" s="27">
        <v>10</v>
      </c>
      <c r="C57" s="28"/>
      <c r="D57" s="29"/>
      <c r="E57" s="42">
        <f>8+2</f>
        <v>10</v>
      </c>
      <c r="F57" s="30"/>
      <c r="G57" s="30"/>
      <c r="H57" s="31">
        <f t="shared" si="24"/>
        <v>10</v>
      </c>
      <c r="I57" s="32">
        <f t="shared" si="25"/>
        <v>0</v>
      </c>
      <c r="J57" s="33"/>
      <c r="K57" s="33">
        <f t="shared" si="26"/>
        <v>0</v>
      </c>
      <c r="L57" s="43">
        <f>47-6</f>
        <v>41</v>
      </c>
      <c r="M57" s="34"/>
      <c r="N57" s="40"/>
      <c r="O57" s="53">
        <v>27</v>
      </c>
      <c r="P57" s="37">
        <f t="shared" si="27"/>
        <v>14</v>
      </c>
      <c r="Q57" s="33">
        <f>48+3</f>
        <v>51</v>
      </c>
      <c r="R57" s="33">
        <f t="shared" si="28"/>
        <v>37</v>
      </c>
      <c r="T57" s="38">
        <f t="shared" si="29"/>
        <v>14</v>
      </c>
    </row>
    <row r="58" spans="1:20" ht="15.75" customHeight="1" x14ac:dyDescent="0.5">
      <c r="A58" s="15" t="s">
        <v>46</v>
      </c>
      <c r="B58" s="62"/>
      <c r="C58" s="57"/>
      <c r="D58" s="58"/>
      <c r="E58" s="59"/>
      <c r="F58" s="59"/>
      <c r="G58" s="59"/>
      <c r="H58" s="21"/>
      <c r="I58" s="21"/>
      <c r="J58" s="49"/>
      <c r="K58" s="49"/>
      <c r="L58" s="68"/>
      <c r="M58" s="60"/>
      <c r="N58" s="61"/>
      <c r="O58" s="59"/>
      <c r="P58" s="21"/>
      <c r="Q58" s="49"/>
      <c r="R58" s="49"/>
      <c r="T58" s="38">
        <f t="shared" si="29"/>
        <v>0</v>
      </c>
    </row>
    <row r="59" spans="1:20" ht="15.75" customHeight="1" x14ac:dyDescent="0.5">
      <c r="A59" s="26" t="s">
        <v>47</v>
      </c>
      <c r="B59" s="69">
        <v>0</v>
      </c>
      <c r="C59" s="28"/>
      <c r="D59" s="29"/>
      <c r="E59" s="30"/>
      <c r="F59" s="30"/>
      <c r="G59" s="30"/>
      <c r="H59" s="31">
        <f t="shared" ref="H59:H66" si="30">SUM(E59:G59)</f>
        <v>0</v>
      </c>
      <c r="I59" s="32">
        <f t="shared" ref="I59:I66" si="31">B59-H59+C59+D59</f>
        <v>0</v>
      </c>
      <c r="J59" s="33"/>
      <c r="K59" s="33">
        <f>J59-I59</f>
        <v>0</v>
      </c>
      <c r="L59" s="43">
        <v>8</v>
      </c>
      <c r="M59" s="34"/>
      <c r="N59" s="40"/>
      <c r="O59" s="53">
        <v>2</v>
      </c>
      <c r="P59" s="37">
        <f t="shared" ref="P59:P66" si="32">L59-O59+M59+N59</f>
        <v>6</v>
      </c>
      <c r="Q59" s="33"/>
      <c r="R59" s="33">
        <f>Q59-P59</f>
        <v>-6</v>
      </c>
      <c r="T59" s="38">
        <f t="shared" si="29"/>
        <v>6</v>
      </c>
    </row>
    <row r="60" spans="1:20" ht="15.75" customHeight="1" x14ac:dyDescent="0.5">
      <c r="A60" s="70" t="s">
        <v>48</v>
      </c>
      <c r="B60" s="69">
        <v>0</v>
      </c>
      <c r="C60" s="28"/>
      <c r="D60" s="29"/>
      <c r="E60" s="30"/>
      <c r="F60" s="30"/>
      <c r="G60" s="30"/>
      <c r="H60" s="31">
        <f t="shared" si="30"/>
        <v>0</v>
      </c>
      <c r="I60" s="32">
        <f t="shared" si="31"/>
        <v>0</v>
      </c>
      <c r="K60" s="33">
        <f>J59-I60</f>
        <v>0</v>
      </c>
      <c r="L60" s="43">
        <v>0</v>
      </c>
      <c r="M60" s="34"/>
      <c r="N60" s="40"/>
      <c r="O60" s="36"/>
      <c r="P60" s="37">
        <f t="shared" si="32"/>
        <v>0</v>
      </c>
      <c r="R60" s="33">
        <f>Q59-P60</f>
        <v>0</v>
      </c>
      <c r="T60" s="38">
        <f t="shared" si="29"/>
        <v>0</v>
      </c>
    </row>
    <row r="61" spans="1:20" ht="15.75" customHeight="1" x14ac:dyDescent="0.5">
      <c r="A61" s="26" t="s">
        <v>49</v>
      </c>
      <c r="B61" s="71">
        <v>27</v>
      </c>
      <c r="C61" s="28"/>
      <c r="D61" s="29"/>
      <c r="E61" s="42">
        <v>6</v>
      </c>
      <c r="F61" s="30"/>
      <c r="G61" s="30"/>
      <c r="H61" s="31">
        <f t="shared" si="30"/>
        <v>6</v>
      </c>
      <c r="I61" s="32">
        <f t="shared" si="31"/>
        <v>21</v>
      </c>
      <c r="J61" s="33"/>
      <c r="K61" s="33">
        <f t="shared" ref="K61:K66" si="33">J61-I61</f>
        <v>-21</v>
      </c>
      <c r="L61" s="43">
        <v>26</v>
      </c>
      <c r="M61" s="34"/>
      <c r="N61" s="40"/>
      <c r="O61" s="53">
        <v>4</v>
      </c>
      <c r="P61" s="37">
        <f t="shared" si="32"/>
        <v>22</v>
      </c>
      <c r="Q61" s="41">
        <v>26</v>
      </c>
      <c r="R61" s="33">
        <f t="shared" ref="R61:R66" si="34">Q61-P61</f>
        <v>4</v>
      </c>
      <c r="T61" s="38">
        <f t="shared" si="29"/>
        <v>43</v>
      </c>
    </row>
    <row r="62" spans="1:20" ht="15.75" customHeight="1" x14ac:dyDescent="0.5">
      <c r="A62" s="26" t="s">
        <v>50</v>
      </c>
      <c r="B62" s="69">
        <v>0</v>
      </c>
      <c r="C62" s="28"/>
      <c r="D62" s="29"/>
      <c r="E62" s="30"/>
      <c r="F62" s="30"/>
      <c r="G62" s="30"/>
      <c r="H62" s="31">
        <f t="shared" si="30"/>
        <v>0</v>
      </c>
      <c r="I62" s="32">
        <f t="shared" si="31"/>
        <v>0</v>
      </c>
      <c r="J62" s="33"/>
      <c r="K62" s="33">
        <f t="shared" si="33"/>
        <v>0</v>
      </c>
      <c r="L62" s="43">
        <f>24+14</f>
        <v>38</v>
      </c>
      <c r="M62" s="34"/>
      <c r="N62" s="40"/>
      <c r="O62" s="53">
        <v>14</v>
      </c>
      <c r="P62" s="37">
        <f t="shared" si="32"/>
        <v>24</v>
      </c>
      <c r="Q62" s="33"/>
      <c r="R62" s="33">
        <f t="shared" si="34"/>
        <v>-24</v>
      </c>
      <c r="T62" s="38">
        <f t="shared" si="29"/>
        <v>24</v>
      </c>
    </row>
    <row r="63" spans="1:20" ht="15.75" customHeight="1" x14ac:dyDescent="0.5">
      <c r="A63" s="26" t="s">
        <v>51</v>
      </c>
      <c r="B63" s="71">
        <v>14</v>
      </c>
      <c r="C63" s="28"/>
      <c r="D63" s="29"/>
      <c r="E63" s="30"/>
      <c r="F63" s="30"/>
      <c r="G63" s="30"/>
      <c r="H63" s="31">
        <f t="shared" si="30"/>
        <v>0</v>
      </c>
      <c r="I63" s="32">
        <f t="shared" si="31"/>
        <v>14</v>
      </c>
      <c r="J63" s="41">
        <v>14</v>
      </c>
      <c r="K63" s="33">
        <f t="shared" si="33"/>
        <v>0</v>
      </c>
      <c r="L63" s="43">
        <v>14</v>
      </c>
      <c r="M63" s="34"/>
      <c r="N63" s="40"/>
      <c r="O63" s="53">
        <v>3</v>
      </c>
      <c r="P63" s="37">
        <f t="shared" si="32"/>
        <v>11</v>
      </c>
      <c r="Q63" s="41"/>
      <c r="R63" s="33">
        <f t="shared" si="34"/>
        <v>-11</v>
      </c>
      <c r="T63" s="38">
        <f t="shared" si="29"/>
        <v>25</v>
      </c>
    </row>
    <row r="64" spans="1:20" ht="15.75" customHeight="1" x14ac:dyDescent="0.5">
      <c r="A64" s="26" t="s">
        <v>52</v>
      </c>
      <c r="B64" s="71">
        <v>21</v>
      </c>
      <c r="C64" s="28"/>
      <c r="D64" s="29"/>
      <c r="E64" s="30"/>
      <c r="F64" s="30"/>
      <c r="G64" s="30"/>
      <c r="H64" s="31">
        <f t="shared" si="30"/>
        <v>0</v>
      </c>
      <c r="I64" s="32">
        <f t="shared" si="31"/>
        <v>21</v>
      </c>
      <c r="J64" s="41">
        <v>21</v>
      </c>
      <c r="K64" s="33">
        <f t="shared" si="33"/>
        <v>0</v>
      </c>
      <c r="L64" s="43">
        <v>23</v>
      </c>
      <c r="M64" s="34"/>
      <c r="N64" s="40"/>
      <c r="O64" s="53">
        <v>5</v>
      </c>
      <c r="P64" s="37">
        <f t="shared" si="32"/>
        <v>18</v>
      </c>
      <c r="Q64" s="41"/>
      <c r="R64" s="33">
        <f t="shared" si="34"/>
        <v>-18</v>
      </c>
      <c r="T64" s="38">
        <f t="shared" si="29"/>
        <v>39</v>
      </c>
    </row>
    <row r="65" spans="1:20" ht="15.75" customHeight="1" x14ac:dyDescent="0.5">
      <c r="A65" s="72" t="s">
        <v>53</v>
      </c>
      <c r="B65" s="69">
        <v>0</v>
      </c>
      <c r="C65" s="73"/>
      <c r="D65" s="74"/>
      <c r="E65" s="30"/>
      <c r="F65" s="30"/>
      <c r="G65" s="30"/>
      <c r="H65" s="31">
        <f t="shared" si="30"/>
        <v>0</v>
      </c>
      <c r="I65" s="32">
        <f t="shared" si="31"/>
        <v>0</v>
      </c>
      <c r="J65" s="33"/>
      <c r="K65" s="33">
        <f t="shared" si="33"/>
        <v>0</v>
      </c>
      <c r="L65" s="43">
        <v>22</v>
      </c>
      <c r="M65" s="75"/>
      <c r="N65" s="76"/>
      <c r="O65" s="53">
        <v>2</v>
      </c>
      <c r="P65" s="37">
        <f t="shared" si="32"/>
        <v>20</v>
      </c>
      <c r="Q65" s="33">
        <f>22</f>
        <v>22</v>
      </c>
      <c r="R65" s="33">
        <f t="shared" si="34"/>
        <v>2</v>
      </c>
      <c r="T65" s="38">
        <f t="shared" si="29"/>
        <v>20</v>
      </c>
    </row>
    <row r="66" spans="1:20" ht="15.75" customHeight="1" x14ac:dyDescent="0.5">
      <c r="A66" s="77" t="s">
        <v>54</v>
      </c>
      <c r="B66" s="69">
        <v>0</v>
      </c>
      <c r="C66" s="27">
        <v>145</v>
      </c>
      <c r="D66" s="78"/>
      <c r="E66" s="42">
        <v>24</v>
      </c>
      <c r="F66" s="30"/>
      <c r="G66" s="30"/>
      <c r="H66" s="31">
        <f t="shared" si="30"/>
        <v>24</v>
      </c>
      <c r="I66" s="32">
        <f t="shared" si="31"/>
        <v>121</v>
      </c>
      <c r="J66" s="41">
        <v>72</v>
      </c>
      <c r="K66" s="33">
        <f t="shared" si="33"/>
        <v>-49</v>
      </c>
      <c r="L66" s="43"/>
      <c r="M66" s="79">
        <v>70</v>
      </c>
      <c r="N66" s="79">
        <v>1</v>
      </c>
      <c r="O66" s="53">
        <v>18</v>
      </c>
      <c r="P66" s="37">
        <f t="shared" si="32"/>
        <v>53</v>
      </c>
      <c r="Q66" s="41">
        <f>48+19</f>
        <v>67</v>
      </c>
      <c r="R66" s="33">
        <f t="shared" si="34"/>
        <v>14</v>
      </c>
      <c r="T66" s="38"/>
    </row>
    <row r="67" spans="1:20" ht="24.75" customHeight="1" x14ac:dyDescent="0.75">
      <c r="B67" s="80">
        <f t="shared" ref="B67:D67" si="35">SUM(B6:B66)</f>
        <v>10062</v>
      </c>
      <c r="C67" s="80">
        <f t="shared" si="35"/>
        <v>1204</v>
      </c>
      <c r="D67" s="81">
        <f t="shared" si="35"/>
        <v>52</v>
      </c>
      <c r="E67" s="82">
        <f t="shared" ref="E67:I67" si="36">SUM(E6:E66)</f>
        <v>1139</v>
      </c>
      <c r="F67" s="82">
        <f t="shared" si="36"/>
        <v>260</v>
      </c>
      <c r="G67" s="82">
        <f t="shared" si="36"/>
        <v>60</v>
      </c>
      <c r="H67" s="83">
        <f t="shared" si="36"/>
        <v>1459</v>
      </c>
      <c r="I67" s="84">
        <f t="shared" si="36"/>
        <v>9859</v>
      </c>
      <c r="J67" s="84">
        <f>SUM(J6)</f>
        <v>283</v>
      </c>
      <c r="K67" s="84">
        <f>SUM(K6:K65)</f>
        <v>-78</v>
      </c>
      <c r="L67" s="85">
        <f t="shared" ref="L67:O67" si="37">SUM(L6:L66)</f>
        <v>4842</v>
      </c>
      <c r="M67" s="85">
        <f t="shared" si="37"/>
        <v>1234</v>
      </c>
      <c r="N67" s="85">
        <f t="shared" si="37"/>
        <v>47</v>
      </c>
      <c r="O67" s="85">
        <f t="shared" si="37"/>
        <v>1432</v>
      </c>
      <c r="P67" s="86">
        <f t="shared" ref="P67:R67" si="38">SUM(P6:P66)</f>
        <v>4691</v>
      </c>
      <c r="Q67" s="84">
        <f t="shared" si="38"/>
        <v>4752</v>
      </c>
      <c r="R67" s="84">
        <f t="shared" si="38"/>
        <v>61</v>
      </c>
      <c r="T67" s="87">
        <f>I67+P67</f>
        <v>14550</v>
      </c>
    </row>
    <row r="68" spans="1:20" ht="29.25" customHeight="1" x14ac:dyDescent="0.7">
      <c r="D68" s="88" t="s">
        <v>55</v>
      </c>
      <c r="E68" s="89">
        <f>E67+F67+G67-D67</f>
        <v>1407</v>
      </c>
      <c r="H68" s="90"/>
      <c r="I68" s="90"/>
      <c r="N68" s="91" t="s">
        <v>55</v>
      </c>
      <c r="O68" s="92">
        <f>SUM(O6:O66)</f>
        <v>1432</v>
      </c>
    </row>
    <row r="69" spans="1:20" ht="15.75" customHeight="1" x14ac:dyDescent="0.4">
      <c r="A69" s="93"/>
      <c r="G69" s="126" t="s">
        <v>56</v>
      </c>
      <c r="H69" s="117"/>
      <c r="I69" s="127">
        <f>E68+O68</f>
        <v>2839</v>
      </c>
    </row>
    <row r="70" spans="1:20" ht="15.75" customHeight="1" x14ac:dyDescent="0.4">
      <c r="E70" s="93"/>
      <c r="G70" s="128" t="s">
        <v>57</v>
      </c>
      <c r="H70" s="109"/>
      <c r="I70" s="115"/>
    </row>
    <row r="71" spans="1:20" ht="15.75" customHeight="1" x14ac:dyDescent="0.35">
      <c r="H71" s="90"/>
      <c r="I71" s="90"/>
    </row>
    <row r="72" spans="1:20" ht="15.75" customHeight="1" x14ac:dyDescent="0.35">
      <c r="H72" s="90"/>
      <c r="I72" s="90"/>
    </row>
    <row r="73" spans="1:20" ht="15.75" customHeight="1" x14ac:dyDescent="0.35">
      <c r="H73" s="90"/>
      <c r="I73" s="90"/>
    </row>
    <row r="74" spans="1:20" ht="15.75" customHeight="1" x14ac:dyDescent="0.35">
      <c r="H74" s="90"/>
      <c r="I74" s="90"/>
    </row>
    <row r="75" spans="1:20" ht="15.75" customHeight="1" x14ac:dyDescent="0.35">
      <c r="H75" s="90"/>
      <c r="I75" s="90"/>
    </row>
    <row r="76" spans="1:20" ht="15.75" customHeight="1" x14ac:dyDescent="0.35">
      <c r="H76" s="90"/>
      <c r="I76" s="90"/>
    </row>
    <row r="77" spans="1:20" ht="15.75" customHeight="1" x14ac:dyDescent="0.35">
      <c r="H77" s="90"/>
      <c r="I77" s="90"/>
    </row>
    <row r="78" spans="1:20" ht="15.75" customHeight="1" x14ac:dyDescent="0.35">
      <c r="H78" s="90"/>
      <c r="I78" s="90"/>
    </row>
    <row r="79" spans="1:20" ht="15.75" customHeight="1" x14ac:dyDescent="0.35">
      <c r="H79" s="90"/>
      <c r="I79" s="90"/>
    </row>
    <row r="80" spans="1:20" ht="15.75" customHeight="1" x14ac:dyDescent="0.35">
      <c r="H80" s="90"/>
      <c r="I80" s="90"/>
    </row>
    <row r="81" spans="7:9" ht="15.75" customHeight="1" x14ac:dyDescent="0.35">
      <c r="G81" s="93" t="s">
        <v>58</v>
      </c>
      <c r="H81" s="90"/>
      <c r="I81" s="90"/>
    </row>
    <row r="82" spans="7:9" ht="15.75" customHeight="1" x14ac:dyDescent="0.35">
      <c r="H82" s="90"/>
      <c r="I82" s="90"/>
    </row>
    <row r="83" spans="7:9" ht="15.75" customHeight="1" x14ac:dyDescent="0.35">
      <c r="H83" s="90"/>
      <c r="I83" s="90"/>
    </row>
    <row r="84" spans="7:9" ht="15.75" customHeight="1" x14ac:dyDescent="0.35">
      <c r="H84" s="90"/>
      <c r="I84" s="90"/>
    </row>
    <row r="85" spans="7:9" ht="15.75" customHeight="1" x14ac:dyDescent="0.35">
      <c r="H85" s="90"/>
      <c r="I85" s="90"/>
    </row>
    <row r="86" spans="7:9" ht="15.75" customHeight="1" x14ac:dyDescent="0.35">
      <c r="H86" s="90"/>
      <c r="I86" s="90"/>
    </row>
    <row r="87" spans="7:9" ht="15.75" customHeight="1" x14ac:dyDescent="0.35">
      <c r="H87" s="90"/>
      <c r="I87" s="90"/>
    </row>
    <row r="88" spans="7:9" ht="15.75" customHeight="1" x14ac:dyDescent="0.35">
      <c r="H88" s="90"/>
      <c r="I88" s="90"/>
    </row>
    <row r="89" spans="7:9" ht="15.75" customHeight="1" x14ac:dyDescent="0.35">
      <c r="H89" s="90"/>
      <c r="I89" s="90"/>
    </row>
    <row r="90" spans="7:9" ht="15.75" customHeight="1" x14ac:dyDescent="0.35">
      <c r="H90" s="90"/>
      <c r="I90" s="90"/>
    </row>
    <row r="91" spans="7:9" ht="15.75" customHeight="1" x14ac:dyDescent="0.35">
      <c r="H91" s="90"/>
      <c r="I91" s="90"/>
    </row>
    <row r="92" spans="7:9" ht="15.75" customHeight="1" x14ac:dyDescent="0.35">
      <c r="H92" s="90"/>
      <c r="I92" s="90"/>
    </row>
    <row r="93" spans="7:9" ht="15.75" customHeight="1" x14ac:dyDescent="0.35">
      <c r="H93" s="90"/>
      <c r="I93" s="90"/>
    </row>
    <row r="94" spans="7:9" ht="15.75" customHeight="1" x14ac:dyDescent="0.35">
      <c r="H94" s="90"/>
      <c r="I94" s="90"/>
    </row>
    <row r="95" spans="7:9" ht="15.75" customHeight="1" x14ac:dyDescent="0.35">
      <c r="H95" s="90"/>
      <c r="I95" s="90"/>
    </row>
    <row r="96" spans="7:9" ht="15.75" customHeight="1" x14ac:dyDescent="0.35">
      <c r="H96" s="90"/>
      <c r="I96" s="90"/>
    </row>
    <row r="97" spans="8:9" ht="15.75" customHeight="1" x14ac:dyDescent="0.35">
      <c r="H97" s="90"/>
      <c r="I97" s="90"/>
    </row>
    <row r="98" spans="8:9" ht="15.75" customHeight="1" x14ac:dyDescent="0.35">
      <c r="H98" s="90"/>
      <c r="I98" s="90"/>
    </row>
    <row r="99" spans="8:9" ht="15.75" customHeight="1" x14ac:dyDescent="0.35">
      <c r="H99" s="90"/>
      <c r="I99" s="90"/>
    </row>
    <row r="100" spans="8:9" ht="15.75" customHeight="1" x14ac:dyDescent="0.35">
      <c r="H100" s="90"/>
      <c r="I100" s="90"/>
    </row>
    <row r="101" spans="8:9" ht="15.75" customHeight="1" x14ac:dyDescent="0.35">
      <c r="H101" s="90"/>
      <c r="I101" s="90"/>
    </row>
    <row r="102" spans="8:9" ht="15.75" customHeight="1" x14ac:dyDescent="0.35">
      <c r="H102" s="90"/>
      <c r="I102" s="90"/>
    </row>
    <row r="103" spans="8:9" ht="15.75" customHeight="1" x14ac:dyDescent="0.35">
      <c r="H103" s="90"/>
      <c r="I103" s="90"/>
    </row>
    <row r="104" spans="8:9" ht="15.75" customHeight="1" x14ac:dyDescent="0.35">
      <c r="H104" s="90"/>
      <c r="I104" s="90"/>
    </row>
    <row r="105" spans="8:9" ht="15.75" customHeight="1" x14ac:dyDescent="0.35">
      <c r="H105" s="90"/>
      <c r="I105" s="90"/>
    </row>
    <row r="106" spans="8:9" ht="15.75" customHeight="1" x14ac:dyDescent="0.35">
      <c r="H106" s="90"/>
      <c r="I106" s="90"/>
    </row>
    <row r="107" spans="8:9" ht="15.75" customHeight="1" x14ac:dyDescent="0.35">
      <c r="H107" s="90"/>
      <c r="I107" s="90"/>
    </row>
    <row r="108" spans="8:9" ht="15.75" customHeight="1" x14ac:dyDescent="0.35">
      <c r="H108" s="90"/>
      <c r="I108" s="90"/>
    </row>
    <row r="109" spans="8:9" ht="15.75" customHeight="1" x14ac:dyDescent="0.35">
      <c r="H109" s="90"/>
      <c r="I109" s="90"/>
    </row>
    <row r="110" spans="8:9" ht="15.75" customHeight="1" x14ac:dyDescent="0.35">
      <c r="H110" s="90"/>
      <c r="I110" s="90"/>
    </row>
    <row r="111" spans="8:9" ht="15.75" customHeight="1" x14ac:dyDescent="0.35">
      <c r="H111" s="90"/>
      <c r="I111" s="90"/>
    </row>
    <row r="112" spans="8:9" ht="15.75" customHeight="1" x14ac:dyDescent="0.35">
      <c r="H112" s="90"/>
      <c r="I112" s="90"/>
    </row>
    <row r="113" spans="8:9" ht="15.75" customHeight="1" x14ac:dyDescent="0.35">
      <c r="H113" s="90"/>
      <c r="I113" s="90"/>
    </row>
    <row r="114" spans="8:9" ht="15.75" customHeight="1" x14ac:dyDescent="0.35">
      <c r="H114" s="90"/>
      <c r="I114" s="90"/>
    </row>
    <row r="115" spans="8:9" ht="15.75" customHeight="1" x14ac:dyDescent="0.35">
      <c r="H115" s="90"/>
      <c r="I115" s="90"/>
    </row>
    <row r="116" spans="8:9" ht="15.75" customHeight="1" x14ac:dyDescent="0.35">
      <c r="H116" s="90"/>
      <c r="I116" s="90"/>
    </row>
    <row r="117" spans="8:9" ht="15.75" customHeight="1" x14ac:dyDescent="0.35">
      <c r="H117" s="90"/>
      <c r="I117" s="90"/>
    </row>
    <row r="118" spans="8:9" ht="15.75" customHeight="1" x14ac:dyDescent="0.35">
      <c r="H118" s="90"/>
      <c r="I118" s="90"/>
    </row>
    <row r="119" spans="8:9" ht="15.75" customHeight="1" x14ac:dyDescent="0.35">
      <c r="H119" s="90"/>
      <c r="I119" s="90"/>
    </row>
    <row r="120" spans="8:9" ht="15.75" customHeight="1" x14ac:dyDescent="0.35">
      <c r="H120" s="90"/>
      <c r="I120" s="90"/>
    </row>
    <row r="121" spans="8:9" ht="15.75" customHeight="1" x14ac:dyDescent="0.35">
      <c r="H121" s="90"/>
      <c r="I121" s="90"/>
    </row>
    <row r="122" spans="8:9" ht="15.75" customHeight="1" x14ac:dyDescent="0.35">
      <c r="H122" s="90"/>
      <c r="I122" s="90"/>
    </row>
    <row r="123" spans="8:9" ht="15.75" customHeight="1" x14ac:dyDescent="0.35">
      <c r="H123" s="90"/>
      <c r="I123" s="90"/>
    </row>
    <row r="124" spans="8:9" ht="15.75" customHeight="1" x14ac:dyDescent="0.35">
      <c r="H124" s="90"/>
      <c r="I124" s="90"/>
    </row>
    <row r="125" spans="8:9" ht="15.75" customHeight="1" x14ac:dyDescent="0.35">
      <c r="H125" s="90"/>
      <c r="I125" s="90"/>
    </row>
    <row r="126" spans="8:9" ht="15.75" customHeight="1" x14ac:dyDescent="0.35">
      <c r="H126" s="90"/>
      <c r="I126" s="90"/>
    </row>
    <row r="127" spans="8:9" ht="15.75" customHeight="1" x14ac:dyDescent="0.35">
      <c r="H127" s="90"/>
      <c r="I127" s="90"/>
    </row>
    <row r="128" spans="8:9" ht="15.75" customHeight="1" x14ac:dyDescent="0.35">
      <c r="H128" s="90"/>
      <c r="I128" s="90"/>
    </row>
    <row r="129" spans="8:9" ht="15.75" customHeight="1" x14ac:dyDescent="0.35">
      <c r="H129" s="90"/>
      <c r="I129" s="90"/>
    </row>
    <row r="130" spans="8:9" ht="15.75" customHeight="1" x14ac:dyDescent="0.35">
      <c r="H130" s="90"/>
      <c r="I130" s="90"/>
    </row>
    <row r="131" spans="8:9" ht="15.75" customHeight="1" x14ac:dyDescent="0.35">
      <c r="H131" s="90"/>
      <c r="I131" s="90"/>
    </row>
    <row r="132" spans="8:9" ht="15.75" customHeight="1" x14ac:dyDescent="0.35">
      <c r="H132" s="90"/>
      <c r="I132" s="90"/>
    </row>
    <row r="133" spans="8:9" ht="15.75" customHeight="1" x14ac:dyDescent="0.35">
      <c r="H133" s="90"/>
      <c r="I133" s="90"/>
    </row>
    <row r="134" spans="8:9" ht="15.75" customHeight="1" x14ac:dyDescent="0.35">
      <c r="H134" s="90"/>
      <c r="I134" s="90"/>
    </row>
    <row r="135" spans="8:9" ht="15.75" customHeight="1" x14ac:dyDescent="0.35">
      <c r="H135" s="90"/>
      <c r="I135" s="90"/>
    </row>
    <row r="136" spans="8:9" ht="15.75" customHeight="1" x14ac:dyDescent="0.35">
      <c r="H136" s="90"/>
      <c r="I136" s="90"/>
    </row>
    <row r="137" spans="8:9" ht="15.75" customHeight="1" x14ac:dyDescent="0.35">
      <c r="H137" s="90"/>
      <c r="I137" s="90"/>
    </row>
    <row r="138" spans="8:9" ht="15.75" customHeight="1" x14ac:dyDescent="0.35">
      <c r="H138" s="90"/>
      <c r="I138" s="90"/>
    </row>
    <row r="139" spans="8:9" ht="15.75" customHeight="1" x14ac:dyDescent="0.35">
      <c r="H139" s="90"/>
      <c r="I139" s="90"/>
    </row>
    <row r="140" spans="8:9" ht="15.75" customHeight="1" x14ac:dyDescent="0.35">
      <c r="H140" s="90"/>
      <c r="I140" s="90"/>
    </row>
    <row r="141" spans="8:9" ht="15.75" customHeight="1" x14ac:dyDescent="0.35">
      <c r="H141" s="90"/>
      <c r="I141" s="90"/>
    </row>
    <row r="142" spans="8:9" ht="15.75" customHeight="1" x14ac:dyDescent="0.35">
      <c r="H142" s="90"/>
      <c r="I142" s="90"/>
    </row>
    <row r="143" spans="8:9" ht="15.75" customHeight="1" x14ac:dyDescent="0.35">
      <c r="H143" s="90"/>
      <c r="I143" s="90"/>
    </row>
    <row r="144" spans="8:9" ht="15.75" customHeight="1" x14ac:dyDescent="0.35">
      <c r="H144" s="90"/>
      <c r="I144" s="90"/>
    </row>
    <row r="145" spans="8:9" ht="15.75" customHeight="1" x14ac:dyDescent="0.35">
      <c r="H145" s="90"/>
      <c r="I145" s="90"/>
    </row>
    <row r="146" spans="8:9" ht="15.75" customHeight="1" x14ac:dyDescent="0.35">
      <c r="H146" s="90"/>
      <c r="I146" s="90"/>
    </row>
    <row r="147" spans="8:9" ht="15.75" customHeight="1" x14ac:dyDescent="0.35">
      <c r="H147" s="90"/>
      <c r="I147" s="90"/>
    </row>
    <row r="148" spans="8:9" ht="15.75" customHeight="1" x14ac:dyDescent="0.35">
      <c r="H148" s="90"/>
      <c r="I148" s="90"/>
    </row>
    <row r="149" spans="8:9" ht="15.75" customHeight="1" x14ac:dyDescent="0.35">
      <c r="H149" s="90"/>
      <c r="I149" s="90"/>
    </row>
    <row r="150" spans="8:9" ht="15.75" customHeight="1" x14ac:dyDescent="0.35">
      <c r="H150" s="90"/>
      <c r="I150" s="90"/>
    </row>
    <row r="151" spans="8:9" ht="15.75" customHeight="1" x14ac:dyDescent="0.35">
      <c r="H151" s="90"/>
      <c r="I151" s="90"/>
    </row>
    <row r="152" spans="8:9" ht="15.75" customHeight="1" x14ac:dyDescent="0.35">
      <c r="H152" s="90"/>
      <c r="I152" s="90"/>
    </row>
    <row r="153" spans="8:9" ht="15.75" customHeight="1" x14ac:dyDescent="0.35">
      <c r="H153" s="90"/>
      <c r="I153" s="90"/>
    </row>
    <row r="154" spans="8:9" ht="15.75" customHeight="1" x14ac:dyDescent="0.35">
      <c r="H154" s="90"/>
      <c r="I154" s="90"/>
    </row>
    <row r="155" spans="8:9" ht="15.75" customHeight="1" x14ac:dyDescent="0.35">
      <c r="H155" s="90"/>
      <c r="I155" s="90"/>
    </row>
    <row r="156" spans="8:9" ht="15.75" customHeight="1" x14ac:dyDescent="0.35">
      <c r="H156" s="90"/>
      <c r="I156" s="90"/>
    </row>
    <row r="157" spans="8:9" ht="15.75" customHeight="1" x14ac:dyDescent="0.35">
      <c r="H157" s="90"/>
      <c r="I157" s="90"/>
    </row>
    <row r="158" spans="8:9" ht="15.75" customHeight="1" x14ac:dyDescent="0.35">
      <c r="H158" s="90"/>
      <c r="I158" s="90"/>
    </row>
    <row r="159" spans="8:9" ht="15.75" customHeight="1" x14ac:dyDescent="0.35">
      <c r="H159" s="90"/>
      <c r="I159" s="90"/>
    </row>
    <row r="160" spans="8:9" ht="15.75" customHeight="1" x14ac:dyDescent="0.35">
      <c r="H160" s="90"/>
      <c r="I160" s="90"/>
    </row>
    <row r="161" spans="8:9" ht="15.75" customHeight="1" x14ac:dyDescent="0.35">
      <c r="H161" s="90"/>
      <c r="I161" s="90"/>
    </row>
    <row r="162" spans="8:9" ht="15.75" customHeight="1" x14ac:dyDescent="0.35">
      <c r="H162" s="90"/>
      <c r="I162" s="90"/>
    </row>
    <row r="163" spans="8:9" ht="15.75" customHeight="1" x14ac:dyDescent="0.35">
      <c r="H163" s="90"/>
      <c r="I163" s="90"/>
    </row>
    <row r="164" spans="8:9" ht="15.75" customHeight="1" x14ac:dyDescent="0.35">
      <c r="H164" s="90"/>
      <c r="I164" s="90"/>
    </row>
    <row r="165" spans="8:9" ht="15.75" customHeight="1" x14ac:dyDescent="0.35">
      <c r="H165" s="90"/>
      <c r="I165" s="90"/>
    </row>
    <row r="166" spans="8:9" ht="15.75" customHeight="1" x14ac:dyDescent="0.35">
      <c r="H166" s="90"/>
      <c r="I166" s="90"/>
    </row>
    <row r="167" spans="8:9" ht="15.75" customHeight="1" x14ac:dyDescent="0.35">
      <c r="H167" s="90"/>
      <c r="I167" s="90"/>
    </row>
    <row r="168" spans="8:9" ht="15.75" customHeight="1" x14ac:dyDescent="0.35">
      <c r="H168" s="90"/>
      <c r="I168" s="90"/>
    </row>
    <row r="169" spans="8:9" ht="15.75" customHeight="1" x14ac:dyDescent="0.35">
      <c r="H169" s="90"/>
      <c r="I169" s="90"/>
    </row>
    <row r="170" spans="8:9" ht="15.75" customHeight="1" x14ac:dyDescent="0.35">
      <c r="H170" s="90"/>
      <c r="I170" s="90"/>
    </row>
    <row r="171" spans="8:9" ht="15.75" customHeight="1" x14ac:dyDescent="0.35">
      <c r="H171" s="90"/>
      <c r="I171" s="90"/>
    </row>
    <row r="172" spans="8:9" ht="15.75" customHeight="1" x14ac:dyDescent="0.35">
      <c r="H172" s="90"/>
      <c r="I172" s="90"/>
    </row>
    <row r="173" spans="8:9" ht="15.75" customHeight="1" x14ac:dyDescent="0.35">
      <c r="H173" s="90"/>
      <c r="I173" s="90"/>
    </row>
    <row r="174" spans="8:9" ht="15.75" customHeight="1" x14ac:dyDescent="0.35">
      <c r="H174" s="90"/>
      <c r="I174" s="90"/>
    </row>
    <row r="175" spans="8:9" ht="15.75" customHeight="1" x14ac:dyDescent="0.35">
      <c r="H175" s="90"/>
      <c r="I175" s="90"/>
    </row>
    <row r="176" spans="8:9" ht="15.75" customHeight="1" x14ac:dyDescent="0.35">
      <c r="H176" s="90"/>
      <c r="I176" s="90"/>
    </row>
    <row r="177" spans="8:9" ht="15.75" customHeight="1" x14ac:dyDescent="0.35">
      <c r="H177" s="90"/>
      <c r="I177" s="90"/>
    </row>
    <row r="178" spans="8:9" ht="15.75" customHeight="1" x14ac:dyDescent="0.35">
      <c r="H178" s="90"/>
      <c r="I178" s="90"/>
    </row>
    <row r="179" spans="8:9" ht="15.75" customHeight="1" x14ac:dyDescent="0.35">
      <c r="H179" s="90"/>
      <c r="I179" s="90"/>
    </row>
    <row r="180" spans="8:9" ht="15.75" customHeight="1" x14ac:dyDescent="0.35">
      <c r="H180" s="90"/>
      <c r="I180" s="90"/>
    </row>
    <row r="181" spans="8:9" ht="15.75" customHeight="1" x14ac:dyDescent="0.35">
      <c r="H181" s="90"/>
      <c r="I181" s="90"/>
    </row>
    <row r="182" spans="8:9" ht="15.75" customHeight="1" x14ac:dyDescent="0.35">
      <c r="H182" s="90"/>
      <c r="I182" s="90"/>
    </row>
    <row r="183" spans="8:9" ht="15.75" customHeight="1" x14ac:dyDescent="0.35">
      <c r="H183" s="90"/>
      <c r="I183" s="90"/>
    </row>
    <row r="184" spans="8:9" ht="15.75" customHeight="1" x14ac:dyDescent="0.35">
      <c r="H184" s="90"/>
      <c r="I184" s="90"/>
    </row>
    <row r="185" spans="8:9" ht="15.75" customHeight="1" x14ac:dyDescent="0.35">
      <c r="H185" s="90"/>
      <c r="I185" s="90"/>
    </row>
    <row r="186" spans="8:9" ht="15.75" customHeight="1" x14ac:dyDescent="0.35">
      <c r="H186" s="90"/>
      <c r="I186" s="90"/>
    </row>
    <row r="187" spans="8:9" ht="15.75" customHeight="1" x14ac:dyDescent="0.35">
      <c r="H187" s="90"/>
      <c r="I187" s="90"/>
    </row>
    <row r="188" spans="8:9" ht="15.75" customHeight="1" x14ac:dyDescent="0.35">
      <c r="H188" s="90"/>
      <c r="I188" s="90"/>
    </row>
    <row r="189" spans="8:9" ht="15.75" customHeight="1" x14ac:dyDescent="0.35">
      <c r="H189" s="90"/>
      <c r="I189" s="90"/>
    </row>
    <row r="190" spans="8:9" ht="15.75" customHeight="1" x14ac:dyDescent="0.35">
      <c r="H190" s="90"/>
      <c r="I190" s="90"/>
    </row>
    <row r="191" spans="8:9" ht="15.75" customHeight="1" x14ac:dyDescent="0.35">
      <c r="H191" s="90"/>
      <c r="I191" s="90"/>
    </row>
    <row r="192" spans="8:9" ht="15.75" customHeight="1" x14ac:dyDescent="0.35">
      <c r="H192" s="90"/>
      <c r="I192" s="90"/>
    </row>
    <row r="193" spans="8:9" ht="15.75" customHeight="1" x14ac:dyDescent="0.35">
      <c r="H193" s="90"/>
      <c r="I193" s="90"/>
    </row>
    <row r="194" spans="8:9" ht="15.75" customHeight="1" x14ac:dyDescent="0.35">
      <c r="H194" s="90"/>
      <c r="I194" s="90"/>
    </row>
    <row r="195" spans="8:9" ht="15.75" customHeight="1" x14ac:dyDescent="0.35">
      <c r="H195" s="90"/>
      <c r="I195" s="90"/>
    </row>
    <row r="196" spans="8:9" ht="15.75" customHeight="1" x14ac:dyDescent="0.35">
      <c r="H196" s="90"/>
      <c r="I196" s="90"/>
    </row>
    <row r="197" spans="8:9" ht="15.75" customHeight="1" x14ac:dyDescent="0.35">
      <c r="H197" s="90"/>
      <c r="I197" s="90"/>
    </row>
    <row r="198" spans="8:9" ht="15.75" customHeight="1" x14ac:dyDescent="0.35">
      <c r="H198" s="90"/>
      <c r="I198" s="90"/>
    </row>
    <row r="199" spans="8:9" ht="15.75" customHeight="1" x14ac:dyDescent="0.35">
      <c r="H199" s="90"/>
      <c r="I199" s="90"/>
    </row>
    <row r="200" spans="8:9" ht="15.75" customHeight="1" x14ac:dyDescent="0.35">
      <c r="H200" s="90"/>
      <c r="I200" s="90"/>
    </row>
    <row r="201" spans="8:9" ht="15.75" customHeight="1" x14ac:dyDescent="0.35">
      <c r="H201" s="90"/>
      <c r="I201" s="90"/>
    </row>
    <row r="202" spans="8:9" ht="15.75" customHeight="1" x14ac:dyDescent="0.35">
      <c r="H202" s="90"/>
      <c r="I202" s="90"/>
    </row>
    <row r="203" spans="8:9" ht="15.75" customHeight="1" x14ac:dyDescent="0.35">
      <c r="H203" s="90"/>
      <c r="I203" s="90"/>
    </row>
    <row r="204" spans="8:9" ht="15.75" customHeight="1" x14ac:dyDescent="0.35">
      <c r="H204" s="90"/>
      <c r="I204" s="90"/>
    </row>
    <row r="205" spans="8:9" ht="15.75" customHeight="1" x14ac:dyDescent="0.35">
      <c r="H205" s="90"/>
      <c r="I205" s="90"/>
    </row>
    <row r="206" spans="8:9" ht="15.75" customHeight="1" x14ac:dyDescent="0.35">
      <c r="H206" s="90"/>
      <c r="I206" s="90"/>
    </row>
    <row r="207" spans="8:9" ht="15.75" customHeight="1" x14ac:dyDescent="0.35">
      <c r="H207" s="90"/>
      <c r="I207" s="90"/>
    </row>
    <row r="208" spans="8:9" ht="15.75" customHeight="1" x14ac:dyDescent="0.35">
      <c r="H208" s="90"/>
      <c r="I208" s="90"/>
    </row>
    <row r="209" spans="8:9" ht="15.75" customHeight="1" x14ac:dyDescent="0.35">
      <c r="H209" s="90"/>
      <c r="I209" s="90"/>
    </row>
    <row r="210" spans="8:9" ht="15.75" customHeight="1" x14ac:dyDescent="0.35">
      <c r="H210" s="90"/>
      <c r="I210" s="90"/>
    </row>
    <row r="211" spans="8:9" ht="15.75" customHeight="1" x14ac:dyDescent="0.35">
      <c r="H211" s="90"/>
      <c r="I211" s="90"/>
    </row>
    <row r="212" spans="8:9" ht="15.75" customHeight="1" x14ac:dyDescent="0.35">
      <c r="H212" s="90"/>
      <c r="I212" s="90"/>
    </row>
    <row r="213" spans="8:9" ht="15.75" customHeight="1" x14ac:dyDescent="0.35">
      <c r="H213" s="90"/>
      <c r="I213" s="90"/>
    </row>
    <row r="214" spans="8:9" ht="15.75" customHeight="1" x14ac:dyDescent="0.35">
      <c r="H214" s="90"/>
      <c r="I214" s="90"/>
    </row>
    <row r="215" spans="8:9" ht="15.75" customHeight="1" x14ac:dyDescent="0.35">
      <c r="H215" s="90"/>
      <c r="I215" s="90"/>
    </row>
    <row r="216" spans="8:9" ht="15.75" customHeight="1" x14ac:dyDescent="0.35">
      <c r="H216" s="90"/>
      <c r="I216" s="90"/>
    </row>
    <row r="217" spans="8:9" ht="15.75" customHeight="1" x14ac:dyDescent="0.35">
      <c r="H217" s="90"/>
      <c r="I217" s="90"/>
    </row>
    <row r="218" spans="8:9" ht="15.75" customHeight="1" x14ac:dyDescent="0.35">
      <c r="H218" s="90"/>
      <c r="I218" s="90"/>
    </row>
    <row r="219" spans="8:9" ht="15.75" customHeight="1" x14ac:dyDescent="0.35">
      <c r="H219" s="90"/>
      <c r="I219" s="90"/>
    </row>
    <row r="220" spans="8:9" ht="15.75" customHeight="1" x14ac:dyDescent="0.35">
      <c r="H220" s="90"/>
      <c r="I220" s="90"/>
    </row>
    <row r="221" spans="8:9" ht="15.75" customHeight="1" x14ac:dyDescent="0.35">
      <c r="H221" s="90"/>
      <c r="I221" s="90"/>
    </row>
    <row r="222" spans="8:9" ht="15.75" customHeight="1" x14ac:dyDescent="0.35">
      <c r="H222" s="90"/>
      <c r="I222" s="90"/>
    </row>
    <row r="223" spans="8:9" ht="15.75" customHeight="1" x14ac:dyDescent="0.35">
      <c r="H223" s="90"/>
      <c r="I223" s="90"/>
    </row>
    <row r="224" spans="8:9" ht="15.75" customHeight="1" x14ac:dyDescent="0.35">
      <c r="H224" s="90"/>
      <c r="I224" s="90"/>
    </row>
    <row r="225" spans="8:9" ht="15.75" customHeight="1" x14ac:dyDescent="0.35">
      <c r="H225" s="90"/>
      <c r="I225" s="90"/>
    </row>
    <row r="226" spans="8:9" ht="15.75" customHeight="1" x14ac:dyDescent="0.35">
      <c r="H226" s="90"/>
      <c r="I226" s="90"/>
    </row>
    <row r="227" spans="8:9" ht="15.75" customHeight="1" x14ac:dyDescent="0.35">
      <c r="H227" s="90"/>
      <c r="I227" s="90"/>
    </row>
    <row r="228" spans="8:9" ht="15.75" customHeight="1" x14ac:dyDescent="0.35">
      <c r="H228" s="90"/>
      <c r="I228" s="90"/>
    </row>
    <row r="229" spans="8:9" ht="15.75" customHeight="1" x14ac:dyDescent="0.35">
      <c r="H229" s="90"/>
      <c r="I229" s="90"/>
    </row>
    <row r="230" spans="8:9" ht="15.75" customHeight="1" x14ac:dyDescent="0.35">
      <c r="H230" s="90"/>
      <c r="I230" s="90"/>
    </row>
    <row r="231" spans="8:9" ht="15.75" customHeight="1" x14ac:dyDescent="0.35">
      <c r="H231" s="90"/>
      <c r="I231" s="90"/>
    </row>
    <row r="232" spans="8:9" ht="15.75" customHeight="1" x14ac:dyDescent="0.35">
      <c r="H232" s="90"/>
      <c r="I232" s="90"/>
    </row>
    <row r="233" spans="8:9" ht="15.75" customHeight="1" x14ac:dyDescent="0.35">
      <c r="H233" s="90"/>
      <c r="I233" s="90"/>
    </row>
    <row r="234" spans="8:9" ht="15.75" customHeight="1" x14ac:dyDescent="0.35">
      <c r="H234" s="90"/>
      <c r="I234" s="90"/>
    </row>
    <row r="235" spans="8:9" ht="15.75" customHeight="1" x14ac:dyDescent="0.35">
      <c r="H235" s="90"/>
      <c r="I235" s="90"/>
    </row>
    <row r="236" spans="8:9" ht="15.75" customHeight="1" x14ac:dyDescent="0.35">
      <c r="H236" s="90"/>
      <c r="I236" s="90"/>
    </row>
    <row r="237" spans="8:9" ht="15.75" customHeight="1" x14ac:dyDescent="0.35">
      <c r="H237" s="90"/>
      <c r="I237" s="90"/>
    </row>
    <row r="238" spans="8:9" ht="15.75" customHeight="1" x14ac:dyDescent="0.35">
      <c r="H238" s="90"/>
      <c r="I238" s="90"/>
    </row>
    <row r="239" spans="8:9" ht="15.75" customHeight="1" x14ac:dyDescent="0.35">
      <c r="H239" s="90"/>
      <c r="I239" s="90"/>
    </row>
    <row r="240" spans="8:9" ht="15.75" customHeight="1" x14ac:dyDescent="0.35">
      <c r="H240" s="90"/>
      <c r="I240" s="90"/>
    </row>
    <row r="241" spans="8:9" ht="15.75" customHeight="1" x14ac:dyDescent="0.35">
      <c r="H241" s="90"/>
      <c r="I241" s="90"/>
    </row>
    <row r="242" spans="8:9" ht="15.75" customHeight="1" x14ac:dyDescent="0.35">
      <c r="H242" s="90"/>
      <c r="I242" s="90"/>
    </row>
    <row r="243" spans="8:9" ht="15.75" customHeight="1" x14ac:dyDescent="0.35">
      <c r="H243" s="90"/>
      <c r="I243" s="90"/>
    </row>
    <row r="244" spans="8:9" ht="15.75" customHeight="1" x14ac:dyDescent="0.35">
      <c r="H244" s="90"/>
      <c r="I244" s="90"/>
    </row>
    <row r="245" spans="8:9" ht="15.75" customHeight="1" x14ac:dyDescent="0.35">
      <c r="H245" s="90"/>
      <c r="I245" s="90"/>
    </row>
    <row r="246" spans="8:9" ht="15.75" customHeight="1" x14ac:dyDescent="0.35">
      <c r="H246" s="90"/>
      <c r="I246" s="90"/>
    </row>
    <row r="247" spans="8:9" ht="15.75" customHeight="1" x14ac:dyDescent="0.35">
      <c r="H247" s="90"/>
      <c r="I247" s="90"/>
    </row>
    <row r="248" spans="8:9" ht="15.75" customHeight="1" x14ac:dyDescent="0.35">
      <c r="H248" s="90"/>
      <c r="I248" s="90"/>
    </row>
    <row r="249" spans="8:9" ht="15.75" customHeight="1" x14ac:dyDescent="0.35">
      <c r="H249" s="90"/>
      <c r="I249" s="90"/>
    </row>
    <row r="250" spans="8:9" ht="15.75" customHeight="1" x14ac:dyDescent="0.35">
      <c r="H250" s="90"/>
      <c r="I250" s="90"/>
    </row>
    <row r="251" spans="8:9" ht="15.75" customHeight="1" x14ac:dyDescent="0.35">
      <c r="H251" s="90"/>
      <c r="I251" s="90"/>
    </row>
    <row r="252" spans="8:9" ht="15.75" customHeight="1" x14ac:dyDescent="0.35">
      <c r="H252" s="90"/>
      <c r="I252" s="90"/>
    </row>
    <row r="253" spans="8:9" ht="15.75" customHeight="1" x14ac:dyDescent="0.35">
      <c r="H253" s="90"/>
      <c r="I253" s="90"/>
    </row>
    <row r="254" spans="8:9" ht="15.75" customHeight="1" x14ac:dyDescent="0.35">
      <c r="H254" s="90"/>
      <c r="I254" s="90"/>
    </row>
    <row r="255" spans="8:9" ht="15.75" customHeight="1" x14ac:dyDescent="0.35">
      <c r="H255" s="90"/>
      <c r="I255" s="90"/>
    </row>
    <row r="256" spans="8:9" ht="15.75" customHeight="1" x14ac:dyDescent="0.35">
      <c r="H256" s="90"/>
      <c r="I256" s="90"/>
    </row>
    <row r="257" spans="8:9" ht="15.75" customHeight="1" x14ac:dyDescent="0.35">
      <c r="H257" s="90"/>
      <c r="I257" s="90"/>
    </row>
    <row r="258" spans="8:9" ht="15.75" customHeight="1" x14ac:dyDescent="0.35">
      <c r="H258" s="90"/>
      <c r="I258" s="90"/>
    </row>
    <row r="259" spans="8:9" ht="15.75" customHeight="1" x14ac:dyDescent="0.35">
      <c r="H259" s="90"/>
      <c r="I259" s="90"/>
    </row>
    <row r="260" spans="8:9" ht="15.75" customHeight="1" x14ac:dyDescent="0.35">
      <c r="H260" s="90"/>
      <c r="I260" s="90"/>
    </row>
    <row r="261" spans="8:9" ht="15.75" customHeight="1" x14ac:dyDescent="0.35">
      <c r="H261" s="90"/>
      <c r="I261" s="90"/>
    </row>
    <row r="262" spans="8:9" ht="15.75" customHeight="1" x14ac:dyDescent="0.35">
      <c r="H262" s="90"/>
      <c r="I262" s="90"/>
    </row>
    <row r="263" spans="8:9" ht="15.75" customHeight="1" x14ac:dyDescent="0.35">
      <c r="H263" s="90"/>
      <c r="I263" s="90"/>
    </row>
    <row r="264" spans="8:9" ht="15.75" customHeight="1" x14ac:dyDescent="0.35">
      <c r="H264" s="90"/>
      <c r="I264" s="90"/>
    </row>
    <row r="265" spans="8:9" ht="15.75" customHeight="1" x14ac:dyDescent="0.35">
      <c r="H265" s="90"/>
      <c r="I265" s="90"/>
    </row>
    <row r="266" spans="8:9" ht="15.75" customHeight="1" x14ac:dyDescent="0.35">
      <c r="H266" s="90"/>
      <c r="I266" s="90"/>
    </row>
    <row r="267" spans="8:9" ht="15.75" customHeight="1" x14ac:dyDescent="0.35">
      <c r="H267" s="90"/>
      <c r="I267" s="90"/>
    </row>
    <row r="268" spans="8:9" ht="15.75" customHeight="1" x14ac:dyDescent="0.35">
      <c r="H268" s="90"/>
      <c r="I268" s="90"/>
    </row>
    <row r="269" spans="8:9" ht="15.75" customHeight="1" x14ac:dyDescent="0.35">
      <c r="H269" s="90"/>
      <c r="I269" s="90"/>
    </row>
    <row r="270" spans="8:9" ht="15.75" customHeight="1" x14ac:dyDescent="0.35">
      <c r="H270" s="90"/>
      <c r="I270" s="90"/>
    </row>
    <row r="271" spans="8:9" ht="15.75" customHeight="1" x14ac:dyDescent="0.35">
      <c r="H271" s="90"/>
      <c r="I271" s="90"/>
    </row>
    <row r="272" spans="8:9" ht="15.75" customHeight="1" x14ac:dyDescent="0.35">
      <c r="H272" s="90"/>
      <c r="I272" s="90"/>
    </row>
    <row r="273" spans="8:9" ht="15.75" customHeight="1" x14ac:dyDescent="0.35">
      <c r="H273" s="90"/>
      <c r="I273" s="90"/>
    </row>
    <row r="274" spans="8:9" ht="15.75" customHeight="1" x14ac:dyDescent="0.35">
      <c r="H274" s="90"/>
      <c r="I274" s="90"/>
    </row>
    <row r="275" spans="8:9" ht="15.75" customHeight="1" x14ac:dyDescent="0.35">
      <c r="H275" s="90"/>
      <c r="I275" s="90"/>
    </row>
    <row r="276" spans="8:9" ht="15.75" customHeight="1" x14ac:dyDescent="0.35">
      <c r="H276" s="90"/>
      <c r="I276" s="90"/>
    </row>
    <row r="277" spans="8:9" ht="15.75" customHeight="1" x14ac:dyDescent="0.35">
      <c r="H277" s="90"/>
      <c r="I277" s="90"/>
    </row>
    <row r="278" spans="8:9" ht="15.75" customHeight="1" x14ac:dyDescent="0.35">
      <c r="H278" s="90"/>
      <c r="I278" s="90"/>
    </row>
    <row r="279" spans="8:9" ht="15.75" customHeight="1" x14ac:dyDescent="0.35">
      <c r="H279" s="90"/>
      <c r="I279" s="90"/>
    </row>
    <row r="280" spans="8:9" ht="15.75" customHeight="1" x14ac:dyDescent="0.35">
      <c r="H280" s="90"/>
      <c r="I280" s="90"/>
    </row>
    <row r="281" spans="8:9" ht="15.75" customHeight="1" x14ac:dyDescent="0.35">
      <c r="H281" s="90"/>
      <c r="I281" s="90"/>
    </row>
    <row r="282" spans="8:9" ht="15.75" customHeight="1" x14ac:dyDescent="0.35">
      <c r="H282" s="90"/>
      <c r="I282" s="90"/>
    </row>
    <row r="283" spans="8:9" ht="15.75" customHeight="1" x14ac:dyDescent="0.35">
      <c r="H283" s="90"/>
      <c r="I283" s="90"/>
    </row>
    <row r="284" spans="8:9" ht="15.75" customHeight="1" x14ac:dyDescent="0.35">
      <c r="H284" s="90"/>
      <c r="I284" s="90"/>
    </row>
    <row r="285" spans="8:9" ht="15.75" customHeight="1" x14ac:dyDescent="0.35">
      <c r="H285" s="90"/>
      <c r="I285" s="90"/>
    </row>
    <row r="286" spans="8:9" ht="15.75" customHeight="1" x14ac:dyDescent="0.35">
      <c r="H286" s="90"/>
      <c r="I286" s="90"/>
    </row>
    <row r="287" spans="8:9" ht="15.75" customHeight="1" x14ac:dyDescent="0.35">
      <c r="H287" s="90"/>
      <c r="I287" s="90"/>
    </row>
    <row r="288" spans="8:9" ht="15.75" customHeight="1" x14ac:dyDescent="0.35">
      <c r="H288" s="90"/>
      <c r="I288" s="90"/>
    </row>
    <row r="289" spans="8:9" ht="15.75" customHeight="1" x14ac:dyDescent="0.35">
      <c r="H289" s="90"/>
      <c r="I289" s="90"/>
    </row>
    <row r="290" spans="8:9" ht="15.75" customHeight="1" x14ac:dyDescent="0.35">
      <c r="H290" s="90"/>
      <c r="I290" s="90"/>
    </row>
    <row r="291" spans="8:9" ht="15.75" customHeight="1" x14ac:dyDescent="0.35">
      <c r="H291" s="90"/>
      <c r="I291" s="90"/>
    </row>
    <row r="292" spans="8:9" ht="15.75" customHeight="1" x14ac:dyDescent="0.35">
      <c r="H292" s="90"/>
      <c r="I292" s="90"/>
    </row>
    <row r="293" spans="8:9" ht="15.75" customHeight="1" x14ac:dyDescent="0.35">
      <c r="H293" s="90"/>
      <c r="I293" s="90"/>
    </row>
    <row r="294" spans="8:9" ht="15.75" customHeight="1" x14ac:dyDescent="0.35">
      <c r="H294" s="90"/>
      <c r="I294" s="90"/>
    </row>
    <row r="295" spans="8:9" ht="15.75" customHeight="1" x14ac:dyDescent="0.35">
      <c r="H295" s="90"/>
      <c r="I295" s="90"/>
    </row>
    <row r="296" spans="8:9" ht="15.75" customHeight="1" x14ac:dyDescent="0.35">
      <c r="H296" s="90"/>
      <c r="I296" s="90"/>
    </row>
    <row r="297" spans="8:9" ht="15.75" customHeight="1" x14ac:dyDescent="0.35">
      <c r="H297" s="90"/>
      <c r="I297" s="90"/>
    </row>
    <row r="298" spans="8:9" ht="15.75" customHeight="1" x14ac:dyDescent="0.35">
      <c r="H298" s="90"/>
      <c r="I298" s="90"/>
    </row>
    <row r="299" spans="8:9" ht="15.75" customHeight="1" x14ac:dyDescent="0.35">
      <c r="H299" s="90"/>
      <c r="I299" s="90"/>
    </row>
    <row r="300" spans="8:9" ht="15.75" customHeight="1" x14ac:dyDescent="0.35">
      <c r="H300" s="90"/>
      <c r="I300" s="90"/>
    </row>
    <row r="301" spans="8:9" ht="15.75" customHeight="1" x14ac:dyDescent="0.35">
      <c r="H301" s="90"/>
      <c r="I301" s="90"/>
    </row>
    <row r="302" spans="8:9" ht="15.75" customHeight="1" x14ac:dyDescent="0.35">
      <c r="H302" s="90"/>
      <c r="I302" s="90"/>
    </row>
    <row r="303" spans="8:9" ht="15.75" customHeight="1" x14ac:dyDescent="0.35">
      <c r="H303" s="90"/>
      <c r="I303" s="90"/>
    </row>
    <row r="304" spans="8:9" ht="15.75" customHeight="1" x14ac:dyDescent="0.35">
      <c r="H304" s="90"/>
      <c r="I304" s="90"/>
    </row>
    <row r="305" spans="8:9" ht="15.75" customHeight="1" x14ac:dyDescent="0.35">
      <c r="H305" s="90"/>
      <c r="I305" s="90"/>
    </row>
    <row r="306" spans="8:9" ht="15.75" customHeight="1" x14ac:dyDescent="0.35">
      <c r="H306" s="90"/>
      <c r="I306" s="90"/>
    </row>
    <row r="307" spans="8:9" ht="15.75" customHeight="1" x14ac:dyDescent="0.35">
      <c r="H307" s="90"/>
      <c r="I307" s="90"/>
    </row>
    <row r="308" spans="8:9" ht="15.75" customHeight="1" x14ac:dyDescent="0.35">
      <c r="H308" s="90"/>
      <c r="I308" s="90"/>
    </row>
    <row r="309" spans="8:9" ht="15.75" customHeight="1" x14ac:dyDescent="0.35">
      <c r="H309" s="90"/>
      <c r="I309" s="90"/>
    </row>
    <row r="310" spans="8:9" ht="15.75" customHeight="1" x14ac:dyDescent="0.35">
      <c r="H310" s="90"/>
      <c r="I310" s="90"/>
    </row>
    <row r="311" spans="8:9" ht="15.75" customHeight="1" x14ac:dyDescent="0.35">
      <c r="H311" s="90"/>
      <c r="I311" s="90"/>
    </row>
    <row r="312" spans="8:9" ht="15.75" customHeight="1" x14ac:dyDescent="0.35">
      <c r="H312" s="90"/>
      <c r="I312" s="90"/>
    </row>
    <row r="313" spans="8:9" ht="15.75" customHeight="1" x14ac:dyDescent="0.35">
      <c r="H313" s="90"/>
      <c r="I313" s="90"/>
    </row>
    <row r="314" spans="8:9" ht="15.75" customHeight="1" x14ac:dyDescent="0.35">
      <c r="H314" s="90"/>
      <c r="I314" s="90"/>
    </row>
    <row r="315" spans="8:9" ht="15.75" customHeight="1" x14ac:dyDescent="0.35">
      <c r="H315" s="90"/>
      <c r="I315" s="90"/>
    </row>
    <row r="316" spans="8:9" ht="15.75" customHeight="1" x14ac:dyDescent="0.35">
      <c r="H316" s="90"/>
      <c r="I316" s="90"/>
    </row>
    <row r="317" spans="8:9" ht="15.75" customHeight="1" x14ac:dyDescent="0.35">
      <c r="H317" s="90"/>
      <c r="I317" s="90"/>
    </row>
    <row r="318" spans="8:9" ht="15.75" customHeight="1" x14ac:dyDescent="0.35">
      <c r="H318" s="90"/>
      <c r="I318" s="90"/>
    </row>
    <row r="319" spans="8:9" ht="15.75" customHeight="1" x14ac:dyDescent="0.35">
      <c r="H319" s="90"/>
      <c r="I319" s="90"/>
    </row>
    <row r="320" spans="8:9" ht="15.75" customHeight="1" x14ac:dyDescent="0.35">
      <c r="H320" s="90"/>
      <c r="I320" s="90"/>
    </row>
    <row r="321" spans="8:9" ht="15.75" customHeight="1" x14ac:dyDescent="0.35">
      <c r="H321" s="90"/>
      <c r="I321" s="90"/>
    </row>
    <row r="322" spans="8:9" ht="15.75" customHeight="1" x14ac:dyDescent="0.35">
      <c r="H322" s="90"/>
      <c r="I322" s="90"/>
    </row>
    <row r="323" spans="8:9" ht="15.75" customHeight="1" x14ac:dyDescent="0.35">
      <c r="H323" s="90"/>
      <c r="I323" s="90"/>
    </row>
    <row r="324" spans="8:9" ht="15.75" customHeight="1" x14ac:dyDescent="0.35">
      <c r="H324" s="90"/>
      <c r="I324" s="90"/>
    </row>
    <row r="325" spans="8:9" ht="15.75" customHeight="1" x14ac:dyDescent="0.35">
      <c r="H325" s="90"/>
      <c r="I325" s="90"/>
    </row>
    <row r="326" spans="8:9" ht="15.75" customHeight="1" x14ac:dyDescent="0.35">
      <c r="H326" s="90"/>
      <c r="I326" s="90"/>
    </row>
    <row r="327" spans="8:9" ht="15.75" customHeight="1" x14ac:dyDescent="0.35">
      <c r="H327" s="90"/>
      <c r="I327" s="90"/>
    </row>
    <row r="328" spans="8:9" ht="15.75" customHeight="1" x14ac:dyDescent="0.35">
      <c r="H328" s="90"/>
      <c r="I328" s="90"/>
    </row>
    <row r="329" spans="8:9" ht="15.75" customHeight="1" x14ac:dyDescent="0.35">
      <c r="H329" s="90"/>
      <c r="I329" s="90"/>
    </row>
    <row r="330" spans="8:9" ht="15.75" customHeight="1" x14ac:dyDescent="0.35">
      <c r="H330" s="90"/>
      <c r="I330" s="90"/>
    </row>
    <row r="331" spans="8:9" ht="15.75" customHeight="1" x14ac:dyDescent="0.35">
      <c r="H331" s="90"/>
      <c r="I331" s="90"/>
    </row>
    <row r="332" spans="8:9" ht="15.75" customHeight="1" x14ac:dyDescent="0.35">
      <c r="H332" s="90"/>
      <c r="I332" s="90"/>
    </row>
    <row r="333" spans="8:9" ht="15.75" customHeight="1" x14ac:dyDescent="0.35">
      <c r="H333" s="90"/>
      <c r="I333" s="90"/>
    </row>
    <row r="334" spans="8:9" ht="15.75" customHeight="1" x14ac:dyDescent="0.35">
      <c r="H334" s="90"/>
      <c r="I334" s="90"/>
    </row>
    <row r="335" spans="8:9" ht="15.75" customHeight="1" x14ac:dyDescent="0.35">
      <c r="H335" s="90"/>
      <c r="I335" s="90"/>
    </row>
    <row r="336" spans="8:9" ht="15.75" customHeight="1" x14ac:dyDescent="0.35">
      <c r="H336" s="90"/>
      <c r="I336" s="90"/>
    </row>
    <row r="337" spans="8:9" ht="15.75" customHeight="1" x14ac:dyDescent="0.35">
      <c r="H337" s="90"/>
      <c r="I337" s="90"/>
    </row>
    <row r="338" spans="8:9" ht="15.75" customHeight="1" x14ac:dyDescent="0.35">
      <c r="H338" s="90"/>
      <c r="I338" s="90"/>
    </row>
    <row r="339" spans="8:9" ht="15.75" customHeight="1" x14ac:dyDescent="0.35">
      <c r="H339" s="90"/>
      <c r="I339" s="90"/>
    </row>
    <row r="340" spans="8:9" ht="15.75" customHeight="1" x14ac:dyDescent="0.35">
      <c r="H340" s="90"/>
      <c r="I340" s="90"/>
    </row>
    <row r="341" spans="8:9" ht="15.75" customHeight="1" x14ac:dyDescent="0.35">
      <c r="H341" s="90"/>
      <c r="I341" s="90"/>
    </row>
    <row r="342" spans="8:9" ht="15.75" customHeight="1" x14ac:dyDescent="0.35">
      <c r="H342" s="90"/>
      <c r="I342" s="90"/>
    </row>
    <row r="343" spans="8:9" ht="15.75" customHeight="1" x14ac:dyDescent="0.35">
      <c r="H343" s="90"/>
      <c r="I343" s="90"/>
    </row>
    <row r="344" spans="8:9" ht="15.75" customHeight="1" x14ac:dyDescent="0.35">
      <c r="H344" s="90"/>
      <c r="I344" s="90"/>
    </row>
    <row r="345" spans="8:9" ht="15.75" customHeight="1" x14ac:dyDescent="0.35">
      <c r="H345" s="90"/>
      <c r="I345" s="90"/>
    </row>
    <row r="346" spans="8:9" ht="15.75" customHeight="1" x14ac:dyDescent="0.35">
      <c r="H346" s="90"/>
      <c r="I346" s="90"/>
    </row>
    <row r="347" spans="8:9" ht="15.75" customHeight="1" x14ac:dyDescent="0.35">
      <c r="H347" s="90"/>
      <c r="I347" s="90"/>
    </row>
    <row r="348" spans="8:9" ht="15.75" customHeight="1" x14ac:dyDescent="0.35">
      <c r="H348" s="90"/>
      <c r="I348" s="90"/>
    </row>
    <row r="349" spans="8:9" ht="15.75" customHeight="1" x14ac:dyDescent="0.35">
      <c r="H349" s="90"/>
      <c r="I349" s="90"/>
    </row>
    <row r="350" spans="8:9" ht="15.75" customHeight="1" x14ac:dyDescent="0.35">
      <c r="H350" s="90"/>
      <c r="I350" s="90"/>
    </row>
    <row r="351" spans="8:9" ht="15.75" customHeight="1" x14ac:dyDescent="0.35">
      <c r="H351" s="90"/>
      <c r="I351" s="90"/>
    </row>
    <row r="352" spans="8:9" ht="15.75" customHeight="1" x14ac:dyDescent="0.35">
      <c r="H352" s="90"/>
      <c r="I352" s="90"/>
    </row>
    <row r="353" spans="8:9" ht="15.75" customHeight="1" x14ac:dyDescent="0.35">
      <c r="H353" s="90"/>
      <c r="I353" s="90"/>
    </row>
    <row r="354" spans="8:9" ht="15.75" customHeight="1" x14ac:dyDescent="0.35">
      <c r="H354" s="90"/>
      <c r="I354" s="90"/>
    </row>
    <row r="355" spans="8:9" ht="15.75" customHeight="1" x14ac:dyDescent="0.35">
      <c r="H355" s="90"/>
      <c r="I355" s="90"/>
    </row>
    <row r="356" spans="8:9" ht="15.75" customHeight="1" x14ac:dyDescent="0.35">
      <c r="H356" s="90"/>
      <c r="I356" s="90"/>
    </row>
    <row r="357" spans="8:9" ht="15.75" customHeight="1" x14ac:dyDescent="0.35">
      <c r="H357" s="90"/>
      <c r="I357" s="90"/>
    </row>
    <row r="358" spans="8:9" ht="15.75" customHeight="1" x14ac:dyDescent="0.35">
      <c r="H358" s="90"/>
      <c r="I358" s="90"/>
    </row>
    <row r="359" spans="8:9" ht="15.75" customHeight="1" x14ac:dyDescent="0.35">
      <c r="H359" s="90"/>
      <c r="I359" s="90"/>
    </row>
    <row r="360" spans="8:9" ht="15.75" customHeight="1" x14ac:dyDescent="0.35">
      <c r="H360" s="90"/>
      <c r="I360" s="90"/>
    </row>
    <row r="361" spans="8:9" ht="15.75" customHeight="1" x14ac:dyDescent="0.35">
      <c r="H361" s="90"/>
      <c r="I361" s="90"/>
    </row>
    <row r="362" spans="8:9" ht="15.75" customHeight="1" x14ac:dyDescent="0.35">
      <c r="H362" s="90"/>
      <c r="I362" s="90"/>
    </row>
    <row r="363" spans="8:9" ht="15.75" customHeight="1" x14ac:dyDescent="0.35">
      <c r="H363" s="90"/>
      <c r="I363" s="90"/>
    </row>
    <row r="364" spans="8:9" ht="15.75" customHeight="1" x14ac:dyDescent="0.35">
      <c r="H364" s="90"/>
      <c r="I364" s="90"/>
    </row>
    <row r="365" spans="8:9" ht="15.75" customHeight="1" x14ac:dyDescent="0.35">
      <c r="H365" s="90"/>
      <c r="I365" s="90"/>
    </row>
    <row r="366" spans="8:9" ht="15.75" customHeight="1" x14ac:dyDescent="0.35">
      <c r="H366" s="90"/>
      <c r="I366" s="90"/>
    </row>
    <row r="367" spans="8:9" ht="15.75" customHeight="1" x14ac:dyDescent="0.35">
      <c r="H367" s="90"/>
      <c r="I367" s="90"/>
    </row>
    <row r="368" spans="8:9" ht="15.75" customHeight="1" x14ac:dyDescent="0.35">
      <c r="H368" s="90"/>
      <c r="I368" s="90"/>
    </row>
    <row r="369" spans="8:9" ht="15.75" customHeight="1" x14ac:dyDescent="0.35">
      <c r="H369" s="90"/>
      <c r="I369" s="90"/>
    </row>
    <row r="370" spans="8:9" ht="15.75" customHeight="1" x14ac:dyDescent="0.35">
      <c r="H370" s="90"/>
      <c r="I370" s="90"/>
    </row>
    <row r="371" spans="8:9" ht="15.75" customHeight="1" x14ac:dyDescent="0.35">
      <c r="H371" s="90"/>
      <c r="I371" s="90"/>
    </row>
    <row r="372" spans="8:9" ht="15.75" customHeight="1" x14ac:dyDescent="0.35">
      <c r="H372" s="90"/>
      <c r="I372" s="90"/>
    </row>
    <row r="373" spans="8:9" ht="15.75" customHeight="1" x14ac:dyDescent="0.35">
      <c r="H373" s="90"/>
      <c r="I373" s="90"/>
    </row>
    <row r="374" spans="8:9" ht="15.75" customHeight="1" x14ac:dyDescent="0.35">
      <c r="H374" s="90"/>
      <c r="I374" s="90"/>
    </row>
    <row r="375" spans="8:9" ht="15.75" customHeight="1" x14ac:dyDescent="0.35">
      <c r="H375" s="90"/>
      <c r="I375" s="90"/>
    </row>
    <row r="376" spans="8:9" ht="15.75" customHeight="1" x14ac:dyDescent="0.35">
      <c r="H376" s="90"/>
      <c r="I376" s="90"/>
    </row>
    <row r="377" spans="8:9" ht="15.75" customHeight="1" x14ac:dyDescent="0.35">
      <c r="H377" s="90"/>
      <c r="I377" s="90"/>
    </row>
    <row r="378" spans="8:9" ht="15.75" customHeight="1" x14ac:dyDescent="0.35">
      <c r="H378" s="90"/>
      <c r="I378" s="90"/>
    </row>
    <row r="379" spans="8:9" ht="15.75" customHeight="1" x14ac:dyDescent="0.35">
      <c r="H379" s="90"/>
      <c r="I379" s="90"/>
    </row>
    <row r="380" spans="8:9" ht="15.75" customHeight="1" x14ac:dyDescent="0.35">
      <c r="H380" s="90"/>
      <c r="I380" s="90"/>
    </row>
    <row r="381" spans="8:9" ht="15.75" customHeight="1" x14ac:dyDescent="0.35">
      <c r="H381" s="90"/>
      <c r="I381" s="90"/>
    </row>
    <row r="382" spans="8:9" ht="15.75" customHeight="1" x14ac:dyDescent="0.35">
      <c r="H382" s="90"/>
      <c r="I382" s="90"/>
    </row>
    <row r="383" spans="8:9" ht="15.75" customHeight="1" x14ac:dyDescent="0.35">
      <c r="H383" s="90"/>
      <c r="I383" s="90"/>
    </row>
    <row r="384" spans="8:9" ht="15.75" customHeight="1" x14ac:dyDescent="0.35">
      <c r="H384" s="90"/>
      <c r="I384" s="90"/>
    </row>
    <row r="385" spans="8:9" ht="15.75" customHeight="1" x14ac:dyDescent="0.35">
      <c r="H385" s="90"/>
      <c r="I385" s="90"/>
    </row>
    <row r="386" spans="8:9" ht="15.75" customHeight="1" x14ac:dyDescent="0.35">
      <c r="H386" s="90"/>
      <c r="I386" s="90"/>
    </row>
    <row r="387" spans="8:9" ht="15.75" customHeight="1" x14ac:dyDescent="0.35">
      <c r="H387" s="90"/>
      <c r="I387" s="90"/>
    </row>
    <row r="388" spans="8:9" ht="15.75" customHeight="1" x14ac:dyDescent="0.35">
      <c r="H388" s="90"/>
      <c r="I388" s="90"/>
    </row>
    <row r="389" spans="8:9" ht="15.75" customHeight="1" x14ac:dyDescent="0.35">
      <c r="H389" s="90"/>
      <c r="I389" s="90"/>
    </row>
    <row r="390" spans="8:9" ht="15.75" customHeight="1" x14ac:dyDescent="0.35">
      <c r="H390" s="90"/>
      <c r="I390" s="90"/>
    </row>
    <row r="391" spans="8:9" ht="15.75" customHeight="1" x14ac:dyDescent="0.35">
      <c r="H391" s="90"/>
      <c r="I391" s="90"/>
    </row>
    <row r="392" spans="8:9" ht="15.75" customHeight="1" x14ac:dyDescent="0.35">
      <c r="H392" s="90"/>
      <c r="I392" s="90"/>
    </row>
    <row r="393" spans="8:9" ht="15.75" customHeight="1" x14ac:dyDescent="0.35">
      <c r="H393" s="90"/>
      <c r="I393" s="90"/>
    </row>
    <row r="394" spans="8:9" ht="15.75" customHeight="1" x14ac:dyDescent="0.35">
      <c r="H394" s="90"/>
      <c r="I394" s="90"/>
    </row>
    <row r="395" spans="8:9" ht="15.75" customHeight="1" x14ac:dyDescent="0.35">
      <c r="H395" s="90"/>
      <c r="I395" s="90"/>
    </row>
    <row r="396" spans="8:9" ht="15.75" customHeight="1" x14ac:dyDescent="0.35">
      <c r="H396" s="90"/>
      <c r="I396" s="90"/>
    </row>
    <row r="397" spans="8:9" ht="15.75" customHeight="1" x14ac:dyDescent="0.35">
      <c r="H397" s="90"/>
      <c r="I397" s="90"/>
    </row>
    <row r="398" spans="8:9" ht="15.75" customHeight="1" x14ac:dyDescent="0.35">
      <c r="H398" s="90"/>
      <c r="I398" s="90"/>
    </row>
    <row r="399" spans="8:9" ht="15.75" customHeight="1" x14ac:dyDescent="0.35">
      <c r="H399" s="90"/>
      <c r="I399" s="90"/>
    </row>
    <row r="400" spans="8:9" ht="15.75" customHeight="1" x14ac:dyDescent="0.35">
      <c r="H400" s="90"/>
      <c r="I400" s="90"/>
    </row>
    <row r="401" spans="8:9" ht="15.75" customHeight="1" x14ac:dyDescent="0.35">
      <c r="H401" s="90"/>
      <c r="I401" s="90"/>
    </row>
    <row r="402" spans="8:9" ht="15.75" customHeight="1" x14ac:dyDescent="0.35">
      <c r="H402" s="90"/>
      <c r="I402" s="90"/>
    </row>
    <row r="403" spans="8:9" ht="15.75" customHeight="1" x14ac:dyDescent="0.35">
      <c r="H403" s="90"/>
      <c r="I403" s="90"/>
    </row>
    <row r="404" spans="8:9" ht="15.75" customHeight="1" x14ac:dyDescent="0.35">
      <c r="H404" s="90"/>
      <c r="I404" s="90"/>
    </row>
    <row r="405" spans="8:9" ht="15.75" customHeight="1" x14ac:dyDescent="0.35">
      <c r="H405" s="90"/>
      <c r="I405" s="90"/>
    </row>
    <row r="406" spans="8:9" ht="15.75" customHeight="1" x14ac:dyDescent="0.35">
      <c r="H406" s="90"/>
      <c r="I406" s="90"/>
    </row>
    <row r="407" spans="8:9" ht="15.75" customHeight="1" x14ac:dyDescent="0.35">
      <c r="H407" s="90"/>
      <c r="I407" s="90"/>
    </row>
    <row r="408" spans="8:9" ht="15.75" customHeight="1" x14ac:dyDescent="0.35">
      <c r="H408" s="90"/>
      <c r="I408" s="90"/>
    </row>
    <row r="409" spans="8:9" ht="15.75" customHeight="1" x14ac:dyDescent="0.35">
      <c r="H409" s="90"/>
      <c r="I409" s="90"/>
    </row>
    <row r="410" spans="8:9" ht="15.75" customHeight="1" x14ac:dyDescent="0.35">
      <c r="H410" s="90"/>
      <c r="I410" s="90"/>
    </row>
    <row r="411" spans="8:9" ht="15.75" customHeight="1" x14ac:dyDescent="0.35">
      <c r="H411" s="90"/>
      <c r="I411" s="90"/>
    </row>
    <row r="412" spans="8:9" ht="15.75" customHeight="1" x14ac:dyDescent="0.35">
      <c r="H412" s="90"/>
      <c r="I412" s="90"/>
    </row>
    <row r="413" spans="8:9" ht="15.75" customHeight="1" x14ac:dyDescent="0.35">
      <c r="H413" s="90"/>
      <c r="I413" s="90"/>
    </row>
    <row r="414" spans="8:9" ht="15.75" customHeight="1" x14ac:dyDescent="0.35">
      <c r="H414" s="90"/>
      <c r="I414" s="90"/>
    </row>
    <row r="415" spans="8:9" ht="15.75" customHeight="1" x14ac:dyDescent="0.35">
      <c r="H415" s="90"/>
      <c r="I415" s="90"/>
    </row>
    <row r="416" spans="8:9" ht="15.75" customHeight="1" x14ac:dyDescent="0.35">
      <c r="H416" s="90"/>
      <c r="I416" s="90"/>
    </row>
    <row r="417" spans="8:9" ht="15.75" customHeight="1" x14ac:dyDescent="0.35">
      <c r="H417" s="90"/>
      <c r="I417" s="90"/>
    </row>
    <row r="418" spans="8:9" ht="15.75" customHeight="1" x14ac:dyDescent="0.35">
      <c r="H418" s="90"/>
      <c r="I418" s="90"/>
    </row>
    <row r="419" spans="8:9" ht="15.75" customHeight="1" x14ac:dyDescent="0.35">
      <c r="H419" s="90"/>
      <c r="I419" s="90"/>
    </row>
    <row r="420" spans="8:9" ht="15.75" customHeight="1" x14ac:dyDescent="0.35">
      <c r="H420" s="90"/>
      <c r="I420" s="90"/>
    </row>
    <row r="421" spans="8:9" ht="15.75" customHeight="1" x14ac:dyDescent="0.35">
      <c r="H421" s="90"/>
      <c r="I421" s="90"/>
    </row>
    <row r="422" spans="8:9" ht="15.75" customHeight="1" x14ac:dyDescent="0.35">
      <c r="H422" s="90"/>
      <c r="I422" s="90"/>
    </row>
    <row r="423" spans="8:9" ht="15.75" customHeight="1" x14ac:dyDescent="0.35">
      <c r="H423" s="90"/>
      <c r="I423" s="90"/>
    </row>
    <row r="424" spans="8:9" ht="15.75" customHeight="1" x14ac:dyDescent="0.35">
      <c r="H424" s="90"/>
      <c r="I424" s="90"/>
    </row>
    <row r="425" spans="8:9" ht="15.75" customHeight="1" x14ac:dyDescent="0.35">
      <c r="H425" s="90"/>
      <c r="I425" s="90"/>
    </row>
    <row r="426" spans="8:9" ht="15.75" customHeight="1" x14ac:dyDescent="0.35">
      <c r="H426" s="90"/>
      <c r="I426" s="90"/>
    </row>
    <row r="427" spans="8:9" ht="15.75" customHeight="1" x14ac:dyDescent="0.35">
      <c r="H427" s="90"/>
      <c r="I427" s="90"/>
    </row>
    <row r="428" spans="8:9" ht="15.75" customHeight="1" x14ac:dyDescent="0.35">
      <c r="H428" s="90"/>
      <c r="I428" s="90"/>
    </row>
    <row r="429" spans="8:9" ht="15.75" customHeight="1" x14ac:dyDescent="0.35">
      <c r="H429" s="90"/>
      <c r="I429" s="90"/>
    </row>
    <row r="430" spans="8:9" ht="15.75" customHeight="1" x14ac:dyDescent="0.35">
      <c r="H430" s="90"/>
      <c r="I430" s="90"/>
    </row>
    <row r="431" spans="8:9" ht="15.75" customHeight="1" x14ac:dyDescent="0.35">
      <c r="H431" s="90"/>
      <c r="I431" s="90"/>
    </row>
    <row r="432" spans="8:9" ht="15.75" customHeight="1" x14ac:dyDescent="0.35">
      <c r="H432" s="90"/>
      <c r="I432" s="90"/>
    </row>
    <row r="433" spans="8:9" ht="15.75" customHeight="1" x14ac:dyDescent="0.35">
      <c r="H433" s="90"/>
      <c r="I433" s="90"/>
    </row>
    <row r="434" spans="8:9" ht="15.75" customHeight="1" x14ac:dyDescent="0.35">
      <c r="H434" s="90"/>
      <c r="I434" s="90"/>
    </row>
    <row r="435" spans="8:9" ht="15.75" customHeight="1" x14ac:dyDescent="0.35">
      <c r="H435" s="90"/>
      <c r="I435" s="90"/>
    </row>
    <row r="436" spans="8:9" ht="15.75" customHeight="1" x14ac:dyDescent="0.35">
      <c r="H436" s="90"/>
      <c r="I436" s="90"/>
    </row>
    <row r="437" spans="8:9" ht="15.75" customHeight="1" x14ac:dyDescent="0.35">
      <c r="H437" s="90"/>
      <c r="I437" s="90"/>
    </row>
    <row r="438" spans="8:9" ht="15.75" customHeight="1" x14ac:dyDescent="0.35">
      <c r="H438" s="90"/>
      <c r="I438" s="90"/>
    </row>
    <row r="439" spans="8:9" ht="15.75" customHeight="1" x14ac:dyDescent="0.35">
      <c r="H439" s="90"/>
      <c r="I439" s="90"/>
    </row>
    <row r="440" spans="8:9" ht="15.75" customHeight="1" x14ac:dyDescent="0.35">
      <c r="H440" s="90"/>
      <c r="I440" s="90"/>
    </row>
    <row r="441" spans="8:9" ht="15.75" customHeight="1" x14ac:dyDescent="0.35">
      <c r="H441" s="90"/>
      <c r="I441" s="90"/>
    </row>
    <row r="442" spans="8:9" ht="15.75" customHeight="1" x14ac:dyDescent="0.35">
      <c r="H442" s="90"/>
      <c r="I442" s="90"/>
    </row>
    <row r="443" spans="8:9" ht="15.75" customHeight="1" x14ac:dyDescent="0.35">
      <c r="H443" s="90"/>
      <c r="I443" s="90"/>
    </row>
    <row r="444" spans="8:9" ht="15.75" customHeight="1" x14ac:dyDescent="0.35">
      <c r="H444" s="90"/>
      <c r="I444" s="90"/>
    </row>
    <row r="445" spans="8:9" ht="15.75" customHeight="1" x14ac:dyDescent="0.35">
      <c r="H445" s="90"/>
      <c r="I445" s="90"/>
    </row>
    <row r="446" spans="8:9" ht="15.75" customHeight="1" x14ac:dyDescent="0.35">
      <c r="H446" s="90"/>
      <c r="I446" s="90"/>
    </row>
    <row r="447" spans="8:9" ht="15.75" customHeight="1" x14ac:dyDescent="0.35">
      <c r="H447" s="90"/>
      <c r="I447" s="90"/>
    </row>
    <row r="448" spans="8:9" ht="15.75" customHeight="1" x14ac:dyDescent="0.35">
      <c r="H448" s="90"/>
      <c r="I448" s="90"/>
    </row>
    <row r="449" spans="8:9" ht="15.75" customHeight="1" x14ac:dyDescent="0.35">
      <c r="H449" s="90"/>
      <c r="I449" s="90"/>
    </row>
    <row r="450" spans="8:9" ht="15.75" customHeight="1" x14ac:dyDescent="0.35">
      <c r="H450" s="90"/>
      <c r="I450" s="90"/>
    </row>
    <row r="451" spans="8:9" ht="15.75" customHeight="1" x14ac:dyDescent="0.35">
      <c r="H451" s="90"/>
      <c r="I451" s="90"/>
    </row>
    <row r="452" spans="8:9" ht="15.75" customHeight="1" x14ac:dyDescent="0.35">
      <c r="H452" s="90"/>
      <c r="I452" s="90"/>
    </row>
    <row r="453" spans="8:9" ht="15.75" customHeight="1" x14ac:dyDescent="0.35">
      <c r="H453" s="90"/>
      <c r="I453" s="90"/>
    </row>
    <row r="454" spans="8:9" ht="15.75" customHeight="1" x14ac:dyDescent="0.35">
      <c r="H454" s="90"/>
      <c r="I454" s="90"/>
    </row>
    <row r="455" spans="8:9" ht="15.75" customHeight="1" x14ac:dyDescent="0.35">
      <c r="H455" s="90"/>
      <c r="I455" s="90"/>
    </row>
    <row r="456" spans="8:9" ht="15.75" customHeight="1" x14ac:dyDescent="0.35">
      <c r="H456" s="90"/>
      <c r="I456" s="90"/>
    </row>
    <row r="457" spans="8:9" ht="15.75" customHeight="1" x14ac:dyDescent="0.35">
      <c r="H457" s="90"/>
      <c r="I457" s="90"/>
    </row>
    <row r="458" spans="8:9" ht="15.75" customHeight="1" x14ac:dyDescent="0.35">
      <c r="H458" s="90"/>
      <c r="I458" s="90"/>
    </row>
    <row r="459" spans="8:9" ht="15.75" customHeight="1" x14ac:dyDescent="0.35">
      <c r="H459" s="90"/>
      <c r="I459" s="90"/>
    </row>
    <row r="460" spans="8:9" ht="15.75" customHeight="1" x14ac:dyDescent="0.35">
      <c r="H460" s="90"/>
      <c r="I460" s="90"/>
    </row>
    <row r="461" spans="8:9" ht="15.75" customHeight="1" x14ac:dyDescent="0.35">
      <c r="H461" s="90"/>
      <c r="I461" s="90"/>
    </row>
    <row r="462" spans="8:9" ht="15.75" customHeight="1" x14ac:dyDescent="0.35">
      <c r="H462" s="90"/>
      <c r="I462" s="90"/>
    </row>
    <row r="463" spans="8:9" ht="15.75" customHeight="1" x14ac:dyDescent="0.35">
      <c r="H463" s="90"/>
      <c r="I463" s="90"/>
    </row>
    <row r="464" spans="8:9" ht="15.75" customHeight="1" x14ac:dyDescent="0.35">
      <c r="H464" s="90"/>
      <c r="I464" s="90"/>
    </row>
    <row r="465" spans="8:9" ht="15.75" customHeight="1" x14ac:dyDescent="0.35">
      <c r="H465" s="90"/>
      <c r="I465" s="90"/>
    </row>
    <row r="466" spans="8:9" ht="15.75" customHeight="1" x14ac:dyDescent="0.35">
      <c r="H466" s="90"/>
      <c r="I466" s="90"/>
    </row>
    <row r="467" spans="8:9" ht="15.75" customHeight="1" x14ac:dyDescent="0.35">
      <c r="H467" s="90"/>
      <c r="I467" s="90"/>
    </row>
    <row r="468" spans="8:9" ht="15.75" customHeight="1" x14ac:dyDescent="0.35">
      <c r="H468" s="90"/>
      <c r="I468" s="90"/>
    </row>
    <row r="469" spans="8:9" ht="15.75" customHeight="1" x14ac:dyDescent="0.35">
      <c r="H469" s="90"/>
      <c r="I469" s="90"/>
    </row>
    <row r="470" spans="8:9" ht="15.75" customHeight="1" x14ac:dyDescent="0.35">
      <c r="H470" s="90"/>
      <c r="I470" s="90"/>
    </row>
    <row r="471" spans="8:9" ht="15.75" customHeight="1" x14ac:dyDescent="0.35">
      <c r="H471" s="90"/>
      <c r="I471" s="90"/>
    </row>
    <row r="472" spans="8:9" ht="15.75" customHeight="1" x14ac:dyDescent="0.35">
      <c r="H472" s="90"/>
      <c r="I472" s="90"/>
    </row>
    <row r="473" spans="8:9" ht="15.75" customHeight="1" x14ac:dyDescent="0.35">
      <c r="H473" s="90"/>
      <c r="I473" s="90"/>
    </row>
    <row r="474" spans="8:9" ht="15.75" customHeight="1" x14ac:dyDescent="0.35">
      <c r="H474" s="90"/>
      <c r="I474" s="90"/>
    </row>
    <row r="475" spans="8:9" ht="15.75" customHeight="1" x14ac:dyDescent="0.35">
      <c r="H475" s="90"/>
      <c r="I475" s="90"/>
    </row>
    <row r="476" spans="8:9" ht="15.75" customHeight="1" x14ac:dyDescent="0.35">
      <c r="H476" s="90"/>
      <c r="I476" s="90"/>
    </row>
    <row r="477" spans="8:9" ht="15.75" customHeight="1" x14ac:dyDescent="0.35">
      <c r="H477" s="90"/>
      <c r="I477" s="90"/>
    </row>
    <row r="478" spans="8:9" ht="15.75" customHeight="1" x14ac:dyDescent="0.35">
      <c r="H478" s="90"/>
      <c r="I478" s="90"/>
    </row>
    <row r="479" spans="8:9" ht="15.75" customHeight="1" x14ac:dyDescent="0.35">
      <c r="H479" s="90"/>
      <c r="I479" s="90"/>
    </row>
    <row r="480" spans="8:9" ht="15.75" customHeight="1" x14ac:dyDescent="0.35">
      <c r="H480" s="90"/>
      <c r="I480" s="90"/>
    </row>
    <row r="481" spans="8:9" ht="15.75" customHeight="1" x14ac:dyDescent="0.35">
      <c r="H481" s="90"/>
      <c r="I481" s="90"/>
    </row>
    <row r="482" spans="8:9" ht="15.75" customHeight="1" x14ac:dyDescent="0.35">
      <c r="H482" s="90"/>
      <c r="I482" s="90"/>
    </row>
    <row r="483" spans="8:9" ht="15.75" customHeight="1" x14ac:dyDescent="0.35">
      <c r="H483" s="90"/>
      <c r="I483" s="90"/>
    </row>
    <row r="484" spans="8:9" ht="15.75" customHeight="1" x14ac:dyDescent="0.35">
      <c r="H484" s="90"/>
      <c r="I484" s="90"/>
    </row>
    <row r="485" spans="8:9" ht="15.75" customHeight="1" x14ac:dyDescent="0.35">
      <c r="H485" s="90"/>
      <c r="I485" s="90"/>
    </row>
    <row r="486" spans="8:9" ht="15.75" customHeight="1" x14ac:dyDescent="0.35">
      <c r="H486" s="90"/>
      <c r="I486" s="90"/>
    </row>
    <row r="487" spans="8:9" ht="15.75" customHeight="1" x14ac:dyDescent="0.35">
      <c r="H487" s="90"/>
      <c r="I487" s="90"/>
    </row>
    <row r="488" spans="8:9" ht="15.75" customHeight="1" x14ac:dyDescent="0.35">
      <c r="H488" s="90"/>
      <c r="I488" s="90"/>
    </row>
    <row r="489" spans="8:9" ht="15.75" customHeight="1" x14ac:dyDescent="0.35">
      <c r="H489" s="90"/>
      <c r="I489" s="90"/>
    </row>
    <row r="490" spans="8:9" ht="15.75" customHeight="1" x14ac:dyDescent="0.35">
      <c r="H490" s="90"/>
      <c r="I490" s="90"/>
    </row>
    <row r="491" spans="8:9" ht="15.75" customHeight="1" x14ac:dyDescent="0.35">
      <c r="H491" s="90"/>
      <c r="I491" s="90"/>
    </row>
    <row r="492" spans="8:9" ht="15.75" customHeight="1" x14ac:dyDescent="0.35">
      <c r="H492" s="90"/>
      <c r="I492" s="90"/>
    </row>
    <row r="493" spans="8:9" ht="15.75" customHeight="1" x14ac:dyDescent="0.35">
      <c r="H493" s="90"/>
      <c r="I493" s="90"/>
    </row>
    <row r="494" spans="8:9" ht="15.75" customHeight="1" x14ac:dyDescent="0.35">
      <c r="H494" s="90"/>
      <c r="I494" s="90"/>
    </row>
    <row r="495" spans="8:9" ht="15.75" customHeight="1" x14ac:dyDescent="0.35">
      <c r="H495" s="90"/>
      <c r="I495" s="90"/>
    </row>
    <row r="496" spans="8:9" ht="15.75" customHeight="1" x14ac:dyDescent="0.35">
      <c r="H496" s="90"/>
      <c r="I496" s="90"/>
    </row>
    <row r="497" spans="8:9" ht="15.75" customHeight="1" x14ac:dyDescent="0.35">
      <c r="H497" s="90"/>
      <c r="I497" s="90"/>
    </row>
    <row r="498" spans="8:9" ht="15.75" customHeight="1" x14ac:dyDescent="0.35">
      <c r="H498" s="90"/>
      <c r="I498" s="90"/>
    </row>
    <row r="499" spans="8:9" ht="15.75" customHeight="1" x14ac:dyDescent="0.35">
      <c r="H499" s="90"/>
      <c r="I499" s="90"/>
    </row>
    <row r="500" spans="8:9" ht="15.75" customHeight="1" x14ac:dyDescent="0.35">
      <c r="H500" s="90"/>
      <c r="I500" s="90"/>
    </row>
    <row r="501" spans="8:9" ht="15.75" customHeight="1" x14ac:dyDescent="0.35">
      <c r="H501" s="90"/>
      <c r="I501" s="90"/>
    </row>
    <row r="502" spans="8:9" ht="15.75" customHeight="1" x14ac:dyDescent="0.35">
      <c r="H502" s="90"/>
      <c r="I502" s="90"/>
    </row>
    <row r="503" spans="8:9" ht="15.75" customHeight="1" x14ac:dyDescent="0.35">
      <c r="H503" s="90"/>
      <c r="I503" s="90"/>
    </row>
    <row r="504" spans="8:9" ht="15.75" customHeight="1" x14ac:dyDescent="0.35">
      <c r="H504" s="90"/>
      <c r="I504" s="90"/>
    </row>
    <row r="505" spans="8:9" ht="15.75" customHeight="1" x14ac:dyDescent="0.35">
      <c r="H505" s="90"/>
      <c r="I505" s="90"/>
    </row>
    <row r="506" spans="8:9" ht="15.75" customHeight="1" x14ac:dyDescent="0.35">
      <c r="H506" s="90"/>
      <c r="I506" s="90"/>
    </row>
    <row r="507" spans="8:9" ht="15.75" customHeight="1" x14ac:dyDescent="0.35">
      <c r="H507" s="90"/>
      <c r="I507" s="90"/>
    </row>
    <row r="508" spans="8:9" ht="15.75" customHeight="1" x14ac:dyDescent="0.35">
      <c r="H508" s="90"/>
      <c r="I508" s="90"/>
    </row>
    <row r="509" spans="8:9" ht="15.75" customHeight="1" x14ac:dyDescent="0.35">
      <c r="H509" s="90"/>
      <c r="I509" s="90"/>
    </row>
    <row r="510" spans="8:9" ht="15.75" customHeight="1" x14ac:dyDescent="0.35">
      <c r="H510" s="90"/>
      <c r="I510" s="90"/>
    </row>
    <row r="511" spans="8:9" ht="15.75" customHeight="1" x14ac:dyDescent="0.35">
      <c r="H511" s="90"/>
      <c r="I511" s="90"/>
    </row>
    <row r="512" spans="8:9" ht="15.75" customHeight="1" x14ac:dyDescent="0.35">
      <c r="H512" s="90"/>
      <c r="I512" s="90"/>
    </row>
    <row r="513" spans="8:9" ht="15.75" customHeight="1" x14ac:dyDescent="0.35">
      <c r="H513" s="90"/>
      <c r="I513" s="90"/>
    </row>
    <row r="514" spans="8:9" ht="15.75" customHeight="1" x14ac:dyDescent="0.35">
      <c r="H514" s="90"/>
      <c r="I514" s="90"/>
    </row>
    <row r="515" spans="8:9" ht="15.75" customHeight="1" x14ac:dyDescent="0.35">
      <c r="H515" s="90"/>
      <c r="I515" s="90"/>
    </row>
    <row r="516" spans="8:9" ht="15.75" customHeight="1" x14ac:dyDescent="0.35">
      <c r="H516" s="90"/>
      <c r="I516" s="90"/>
    </row>
    <row r="517" spans="8:9" ht="15.75" customHeight="1" x14ac:dyDescent="0.35">
      <c r="H517" s="90"/>
      <c r="I517" s="90"/>
    </row>
    <row r="518" spans="8:9" ht="15.75" customHeight="1" x14ac:dyDescent="0.35">
      <c r="H518" s="90"/>
      <c r="I518" s="90"/>
    </row>
    <row r="519" spans="8:9" ht="15.75" customHeight="1" x14ac:dyDescent="0.35">
      <c r="H519" s="90"/>
      <c r="I519" s="90"/>
    </row>
    <row r="520" spans="8:9" ht="15.75" customHeight="1" x14ac:dyDescent="0.35">
      <c r="H520" s="90"/>
      <c r="I520" s="90"/>
    </row>
    <row r="521" spans="8:9" ht="15.75" customHeight="1" x14ac:dyDescent="0.35">
      <c r="H521" s="90"/>
      <c r="I521" s="90"/>
    </row>
    <row r="522" spans="8:9" ht="15.75" customHeight="1" x14ac:dyDescent="0.35">
      <c r="H522" s="90"/>
      <c r="I522" s="90"/>
    </row>
    <row r="523" spans="8:9" ht="15.75" customHeight="1" x14ac:dyDescent="0.35">
      <c r="H523" s="90"/>
      <c r="I523" s="90"/>
    </row>
    <row r="524" spans="8:9" ht="15.75" customHeight="1" x14ac:dyDescent="0.35">
      <c r="H524" s="90"/>
      <c r="I524" s="90"/>
    </row>
    <row r="525" spans="8:9" ht="15.75" customHeight="1" x14ac:dyDescent="0.35">
      <c r="H525" s="90"/>
      <c r="I525" s="90"/>
    </row>
    <row r="526" spans="8:9" ht="15.75" customHeight="1" x14ac:dyDescent="0.35">
      <c r="H526" s="90"/>
      <c r="I526" s="90"/>
    </row>
    <row r="527" spans="8:9" ht="15.75" customHeight="1" x14ac:dyDescent="0.35">
      <c r="H527" s="90"/>
      <c r="I527" s="90"/>
    </row>
    <row r="528" spans="8:9" ht="15.75" customHeight="1" x14ac:dyDescent="0.35">
      <c r="H528" s="90"/>
      <c r="I528" s="90"/>
    </row>
    <row r="529" spans="8:9" ht="15.75" customHeight="1" x14ac:dyDescent="0.35">
      <c r="H529" s="90"/>
      <c r="I529" s="90"/>
    </row>
    <row r="530" spans="8:9" ht="15.75" customHeight="1" x14ac:dyDescent="0.35">
      <c r="H530" s="90"/>
      <c r="I530" s="90"/>
    </row>
    <row r="531" spans="8:9" ht="15.75" customHeight="1" x14ac:dyDescent="0.35">
      <c r="H531" s="90"/>
      <c r="I531" s="90"/>
    </row>
    <row r="532" spans="8:9" ht="15.75" customHeight="1" x14ac:dyDescent="0.35">
      <c r="H532" s="90"/>
      <c r="I532" s="90"/>
    </row>
    <row r="533" spans="8:9" ht="15.75" customHeight="1" x14ac:dyDescent="0.35">
      <c r="H533" s="90"/>
      <c r="I533" s="90"/>
    </row>
    <row r="534" spans="8:9" ht="15.75" customHeight="1" x14ac:dyDescent="0.35">
      <c r="H534" s="90"/>
      <c r="I534" s="90"/>
    </row>
    <row r="535" spans="8:9" ht="15.75" customHeight="1" x14ac:dyDescent="0.35">
      <c r="H535" s="90"/>
      <c r="I535" s="90"/>
    </row>
    <row r="536" spans="8:9" ht="15.75" customHeight="1" x14ac:dyDescent="0.35">
      <c r="H536" s="90"/>
      <c r="I536" s="90"/>
    </row>
    <row r="537" spans="8:9" ht="15.75" customHeight="1" x14ac:dyDescent="0.35">
      <c r="H537" s="90"/>
      <c r="I537" s="90"/>
    </row>
    <row r="538" spans="8:9" ht="15.75" customHeight="1" x14ac:dyDescent="0.35">
      <c r="H538" s="90"/>
      <c r="I538" s="90"/>
    </row>
    <row r="539" spans="8:9" ht="15.75" customHeight="1" x14ac:dyDescent="0.35">
      <c r="H539" s="90"/>
      <c r="I539" s="90"/>
    </row>
    <row r="540" spans="8:9" ht="15.75" customHeight="1" x14ac:dyDescent="0.35">
      <c r="H540" s="90"/>
      <c r="I540" s="90"/>
    </row>
    <row r="541" spans="8:9" ht="15.75" customHeight="1" x14ac:dyDescent="0.35">
      <c r="H541" s="90"/>
      <c r="I541" s="90"/>
    </row>
    <row r="542" spans="8:9" ht="15.75" customHeight="1" x14ac:dyDescent="0.35">
      <c r="H542" s="90"/>
      <c r="I542" s="90"/>
    </row>
    <row r="543" spans="8:9" ht="15.75" customHeight="1" x14ac:dyDescent="0.35">
      <c r="H543" s="90"/>
      <c r="I543" s="90"/>
    </row>
    <row r="544" spans="8:9" ht="15.75" customHeight="1" x14ac:dyDescent="0.35">
      <c r="H544" s="90"/>
      <c r="I544" s="90"/>
    </row>
    <row r="545" spans="8:9" ht="15.75" customHeight="1" x14ac:dyDescent="0.35">
      <c r="H545" s="90"/>
      <c r="I545" s="90"/>
    </row>
    <row r="546" spans="8:9" ht="15.75" customHeight="1" x14ac:dyDescent="0.35">
      <c r="H546" s="90"/>
      <c r="I546" s="90"/>
    </row>
    <row r="547" spans="8:9" ht="15.75" customHeight="1" x14ac:dyDescent="0.35">
      <c r="H547" s="90"/>
      <c r="I547" s="90"/>
    </row>
    <row r="548" spans="8:9" ht="15.75" customHeight="1" x14ac:dyDescent="0.35">
      <c r="H548" s="90"/>
      <c r="I548" s="90"/>
    </row>
    <row r="549" spans="8:9" ht="15.75" customHeight="1" x14ac:dyDescent="0.35">
      <c r="H549" s="90"/>
      <c r="I549" s="90"/>
    </row>
    <row r="550" spans="8:9" ht="15.75" customHeight="1" x14ac:dyDescent="0.35">
      <c r="H550" s="90"/>
      <c r="I550" s="90"/>
    </row>
    <row r="551" spans="8:9" ht="15.75" customHeight="1" x14ac:dyDescent="0.35">
      <c r="H551" s="90"/>
      <c r="I551" s="90"/>
    </row>
    <row r="552" spans="8:9" ht="15.75" customHeight="1" x14ac:dyDescent="0.35">
      <c r="H552" s="90"/>
      <c r="I552" s="90"/>
    </row>
    <row r="553" spans="8:9" ht="15.75" customHeight="1" x14ac:dyDescent="0.35">
      <c r="H553" s="90"/>
      <c r="I553" s="90"/>
    </row>
    <row r="554" spans="8:9" ht="15.75" customHeight="1" x14ac:dyDescent="0.35">
      <c r="H554" s="90"/>
      <c r="I554" s="90"/>
    </row>
    <row r="555" spans="8:9" ht="15.75" customHeight="1" x14ac:dyDescent="0.35">
      <c r="H555" s="90"/>
      <c r="I555" s="90"/>
    </row>
    <row r="556" spans="8:9" ht="15.75" customHeight="1" x14ac:dyDescent="0.35">
      <c r="H556" s="90"/>
      <c r="I556" s="90"/>
    </row>
    <row r="557" spans="8:9" ht="15.75" customHeight="1" x14ac:dyDescent="0.35">
      <c r="H557" s="90"/>
      <c r="I557" s="90"/>
    </row>
    <row r="558" spans="8:9" ht="15.75" customHeight="1" x14ac:dyDescent="0.35">
      <c r="H558" s="90"/>
      <c r="I558" s="90"/>
    </row>
    <row r="559" spans="8:9" ht="15.75" customHeight="1" x14ac:dyDescent="0.35">
      <c r="H559" s="90"/>
      <c r="I559" s="90"/>
    </row>
    <row r="560" spans="8:9" ht="15.75" customHeight="1" x14ac:dyDescent="0.35">
      <c r="H560" s="90"/>
      <c r="I560" s="90"/>
    </row>
    <row r="561" spans="8:9" ht="15.75" customHeight="1" x14ac:dyDescent="0.35">
      <c r="H561" s="90"/>
      <c r="I561" s="90"/>
    </row>
    <row r="562" spans="8:9" ht="15.75" customHeight="1" x14ac:dyDescent="0.35">
      <c r="H562" s="90"/>
      <c r="I562" s="90"/>
    </row>
    <row r="563" spans="8:9" ht="15.75" customHeight="1" x14ac:dyDescent="0.35">
      <c r="H563" s="90"/>
      <c r="I563" s="90"/>
    </row>
    <row r="564" spans="8:9" ht="15.75" customHeight="1" x14ac:dyDescent="0.35">
      <c r="H564" s="90"/>
      <c r="I564" s="90"/>
    </row>
    <row r="565" spans="8:9" ht="15.75" customHeight="1" x14ac:dyDescent="0.35">
      <c r="H565" s="90"/>
      <c r="I565" s="90"/>
    </row>
    <row r="566" spans="8:9" ht="15.75" customHeight="1" x14ac:dyDescent="0.35">
      <c r="H566" s="90"/>
      <c r="I566" s="90"/>
    </row>
    <row r="567" spans="8:9" ht="15.75" customHeight="1" x14ac:dyDescent="0.35">
      <c r="H567" s="90"/>
      <c r="I567" s="90"/>
    </row>
    <row r="568" spans="8:9" ht="15.75" customHeight="1" x14ac:dyDescent="0.35">
      <c r="H568" s="90"/>
      <c r="I568" s="90"/>
    </row>
    <row r="569" spans="8:9" ht="15.75" customHeight="1" x14ac:dyDescent="0.35">
      <c r="H569" s="90"/>
      <c r="I569" s="90"/>
    </row>
    <row r="570" spans="8:9" ht="15.75" customHeight="1" x14ac:dyDescent="0.35">
      <c r="H570" s="90"/>
      <c r="I570" s="90"/>
    </row>
    <row r="571" spans="8:9" ht="15.75" customHeight="1" x14ac:dyDescent="0.35">
      <c r="H571" s="90"/>
      <c r="I571" s="90"/>
    </row>
    <row r="572" spans="8:9" ht="15.75" customHeight="1" x14ac:dyDescent="0.35">
      <c r="H572" s="90"/>
      <c r="I572" s="90"/>
    </row>
    <row r="573" spans="8:9" ht="15.75" customHeight="1" x14ac:dyDescent="0.35">
      <c r="H573" s="90"/>
      <c r="I573" s="90"/>
    </row>
    <row r="574" spans="8:9" ht="15.75" customHeight="1" x14ac:dyDescent="0.35">
      <c r="H574" s="90"/>
      <c r="I574" s="90"/>
    </row>
    <row r="575" spans="8:9" ht="15.75" customHeight="1" x14ac:dyDescent="0.35">
      <c r="H575" s="90"/>
      <c r="I575" s="90"/>
    </row>
    <row r="576" spans="8:9" ht="15.75" customHeight="1" x14ac:dyDescent="0.35">
      <c r="H576" s="90"/>
      <c r="I576" s="90"/>
    </row>
    <row r="577" spans="8:9" ht="15.75" customHeight="1" x14ac:dyDescent="0.35">
      <c r="H577" s="90"/>
      <c r="I577" s="90"/>
    </row>
    <row r="578" spans="8:9" ht="15.75" customHeight="1" x14ac:dyDescent="0.35">
      <c r="H578" s="90"/>
      <c r="I578" s="90"/>
    </row>
    <row r="579" spans="8:9" ht="15.75" customHeight="1" x14ac:dyDescent="0.35">
      <c r="H579" s="90"/>
      <c r="I579" s="90"/>
    </row>
    <row r="580" spans="8:9" ht="15.75" customHeight="1" x14ac:dyDescent="0.35">
      <c r="H580" s="90"/>
      <c r="I580" s="90"/>
    </row>
    <row r="581" spans="8:9" ht="15.75" customHeight="1" x14ac:dyDescent="0.35">
      <c r="H581" s="90"/>
      <c r="I581" s="90"/>
    </row>
    <row r="582" spans="8:9" ht="15.75" customHeight="1" x14ac:dyDescent="0.35">
      <c r="H582" s="90"/>
      <c r="I582" s="90"/>
    </row>
    <row r="583" spans="8:9" ht="15.75" customHeight="1" x14ac:dyDescent="0.35">
      <c r="H583" s="90"/>
      <c r="I583" s="90"/>
    </row>
    <row r="584" spans="8:9" ht="15.75" customHeight="1" x14ac:dyDescent="0.35">
      <c r="H584" s="90"/>
      <c r="I584" s="90"/>
    </row>
    <row r="585" spans="8:9" ht="15.75" customHeight="1" x14ac:dyDescent="0.35">
      <c r="H585" s="90"/>
      <c r="I585" s="90"/>
    </row>
    <row r="586" spans="8:9" ht="15.75" customHeight="1" x14ac:dyDescent="0.35">
      <c r="H586" s="90"/>
      <c r="I586" s="90"/>
    </row>
    <row r="587" spans="8:9" ht="15.75" customHeight="1" x14ac:dyDescent="0.35">
      <c r="H587" s="90"/>
      <c r="I587" s="90"/>
    </row>
    <row r="588" spans="8:9" ht="15.75" customHeight="1" x14ac:dyDescent="0.35">
      <c r="H588" s="90"/>
      <c r="I588" s="90"/>
    </row>
    <row r="589" spans="8:9" ht="15.75" customHeight="1" x14ac:dyDescent="0.35">
      <c r="H589" s="90"/>
      <c r="I589" s="90"/>
    </row>
    <row r="590" spans="8:9" ht="15.75" customHeight="1" x14ac:dyDescent="0.35">
      <c r="H590" s="90"/>
      <c r="I590" s="90"/>
    </row>
    <row r="591" spans="8:9" ht="15.75" customHeight="1" x14ac:dyDescent="0.35">
      <c r="H591" s="90"/>
      <c r="I591" s="90"/>
    </row>
    <row r="592" spans="8:9" ht="15.75" customHeight="1" x14ac:dyDescent="0.35">
      <c r="H592" s="90"/>
      <c r="I592" s="90"/>
    </row>
    <row r="593" spans="8:9" ht="15.75" customHeight="1" x14ac:dyDescent="0.35">
      <c r="H593" s="90"/>
      <c r="I593" s="90"/>
    </row>
    <row r="594" spans="8:9" ht="15.75" customHeight="1" x14ac:dyDescent="0.35">
      <c r="H594" s="90"/>
      <c r="I594" s="90"/>
    </row>
    <row r="595" spans="8:9" ht="15.75" customHeight="1" x14ac:dyDescent="0.35">
      <c r="H595" s="90"/>
      <c r="I595" s="90"/>
    </row>
    <row r="596" spans="8:9" ht="15.75" customHeight="1" x14ac:dyDescent="0.35">
      <c r="H596" s="90"/>
      <c r="I596" s="90"/>
    </row>
    <row r="597" spans="8:9" ht="15.75" customHeight="1" x14ac:dyDescent="0.35">
      <c r="H597" s="90"/>
      <c r="I597" s="90"/>
    </row>
    <row r="598" spans="8:9" ht="15.75" customHeight="1" x14ac:dyDescent="0.35">
      <c r="H598" s="90"/>
      <c r="I598" s="90"/>
    </row>
    <row r="599" spans="8:9" ht="15.75" customHeight="1" x14ac:dyDescent="0.35">
      <c r="H599" s="90"/>
      <c r="I599" s="90"/>
    </row>
    <row r="600" spans="8:9" ht="15.75" customHeight="1" x14ac:dyDescent="0.35">
      <c r="H600" s="90"/>
      <c r="I600" s="90"/>
    </row>
    <row r="601" spans="8:9" ht="15.75" customHeight="1" x14ac:dyDescent="0.35">
      <c r="H601" s="90"/>
      <c r="I601" s="90"/>
    </row>
    <row r="602" spans="8:9" ht="15.75" customHeight="1" x14ac:dyDescent="0.35">
      <c r="H602" s="90"/>
      <c r="I602" s="90"/>
    </row>
    <row r="603" spans="8:9" ht="15.75" customHeight="1" x14ac:dyDescent="0.35">
      <c r="H603" s="90"/>
      <c r="I603" s="90"/>
    </row>
    <row r="604" spans="8:9" ht="15.75" customHeight="1" x14ac:dyDescent="0.35">
      <c r="H604" s="90"/>
      <c r="I604" s="90"/>
    </row>
    <row r="605" spans="8:9" ht="15.75" customHeight="1" x14ac:dyDescent="0.35">
      <c r="H605" s="90"/>
      <c r="I605" s="90"/>
    </row>
    <row r="606" spans="8:9" ht="15.75" customHeight="1" x14ac:dyDescent="0.35">
      <c r="H606" s="90"/>
      <c r="I606" s="90"/>
    </row>
    <row r="607" spans="8:9" ht="15.75" customHeight="1" x14ac:dyDescent="0.35">
      <c r="H607" s="90"/>
      <c r="I607" s="90"/>
    </row>
    <row r="608" spans="8:9" ht="15.75" customHeight="1" x14ac:dyDescent="0.35">
      <c r="H608" s="90"/>
      <c r="I608" s="90"/>
    </row>
    <row r="609" spans="8:9" ht="15.75" customHeight="1" x14ac:dyDescent="0.35">
      <c r="H609" s="90"/>
      <c r="I609" s="90"/>
    </row>
    <row r="610" spans="8:9" ht="15.75" customHeight="1" x14ac:dyDescent="0.35">
      <c r="H610" s="90"/>
      <c r="I610" s="90"/>
    </row>
    <row r="611" spans="8:9" ht="15.75" customHeight="1" x14ac:dyDescent="0.35">
      <c r="H611" s="90"/>
      <c r="I611" s="90"/>
    </row>
    <row r="612" spans="8:9" ht="15.75" customHeight="1" x14ac:dyDescent="0.35">
      <c r="H612" s="90"/>
      <c r="I612" s="90"/>
    </row>
    <row r="613" spans="8:9" ht="15.75" customHeight="1" x14ac:dyDescent="0.35">
      <c r="H613" s="90"/>
      <c r="I613" s="90"/>
    </row>
    <row r="614" spans="8:9" ht="15.75" customHeight="1" x14ac:dyDescent="0.35">
      <c r="H614" s="90"/>
      <c r="I614" s="90"/>
    </row>
    <row r="615" spans="8:9" ht="15.75" customHeight="1" x14ac:dyDescent="0.35">
      <c r="H615" s="90"/>
      <c r="I615" s="90"/>
    </row>
    <row r="616" spans="8:9" ht="15.75" customHeight="1" x14ac:dyDescent="0.35">
      <c r="H616" s="90"/>
      <c r="I616" s="90"/>
    </row>
    <row r="617" spans="8:9" ht="15.75" customHeight="1" x14ac:dyDescent="0.35">
      <c r="H617" s="90"/>
      <c r="I617" s="90"/>
    </row>
    <row r="618" spans="8:9" ht="15.75" customHeight="1" x14ac:dyDescent="0.35">
      <c r="H618" s="90"/>
      <c r="I618" s="90"/>
    </row>
    <row r="619" spans="8:9" ht="15.75" customHeight="1" x14ac:dyDescent="0.35">
      <c r="H619" s="90"/>
      <c r="I619" s="90"/>
    </row>
    <row r="620" spans="8:9" ht="15.75" customHeight="1" x14ac:dyDescent="0.35">
      <c r="H620" s="90"/>
      <c r="I620" s="90"/>
    </row>
    <row r="621" spans="8:9" ht="15.75" customHeight="1" x14ac:dyDescent="0.35">
      <c r="H621" s="90"/>
      <c r="I621" s="90"/>
    </row>
    <row r="622" spans="8:9" ht="15.75" customHeight="1" x14ac:dyDescent="0.35">
      <c r="H622" s="90"/>
      <c r="I622" s="90"/>
    </row>
    <row r="623" spans="8:9" ht="15.75" customHeight="1" x14ac:dyDescent="0.35">
      <c r="H623" s="90"/>
      <c r="I623" s="90"/>
    </row>
    <row r="624" spans="8:9" ht="15.75" customHeight="1" x14ac:dyDescent="0.35">
      <c r="H624" s="90"/>
      <c r="I624" s="90"/>
    </row>
    <row r="625" spans="8:9" ht="15.75" customHeight="1" x14ac:dyDescent="0.35">
      <c r="H625" s="90"/>
      <c r="I625" s="90"/>
    </row>
    <row r="626" spans="8:9" ht="15.75" customHeight="1" x14ac:dyDescent="0.35">
      <c r="H626" s="90"/>
      <c r="I626" s="90"/>
    </row>
    <row r="627" spans="8:9" ht="15.75" customHeight="1" x14ac:dyDescent="0.35">
      <c r="H627" s="90"/>
      <c r="I627" s="90"/>
    </row>
    <row r="628" spans="8:9" ht="15.75" customHeight="1" x14ac:dyDescent="0.35">
      <c r="H628" s="90"/>
      <c r="I628" s="90"/>
    </row>
    <row r="629" spans="8:9" ht="15.75" customHeight="1" x14ac:dyDescent="0.35">
      <c r="H629" s="90"/>
      <c r="I629" s="90"/>
    </row>
    <row r="630" spans="8:9" ht="15.75" customHeight="1" x14ac:dyDescent="0.35">
      <c r="H630" s="90"/>
      <c r="I630" s="90"/>
    </row>
    <row r="631" spans="8:9" ht="15.75" customHeight="1" x14ac:dyDescent="0.35">
      <c r="H631" s="90"/>
      <c r="I631" s="90"/>
    </row>
    <row r="632" spans="8:9" ht="15.75" customHeight="1" x14ac:dyDescent="0.35">
      <c r="H632" s="90"/>
      <c r="I632" s="90"/>
    </row>
    <row r="633" spans="8:9" ht="15.75" customHeight="1" x14ac:dyDescent="0.35">
      <c r="H633" s="90"/>
      <c r="I633" s="90"/>
    </row>
    <row r="634" spans="8:9" ht="15.75" customHeight="1" x14ac:dyDescent="0.35">
      <c r="H634" s="90"/>
      <c r="I634" s="90"/>
    </row>
    <row r="635" spans="8:9" ht="15.75" customHeight="1" x14ac:dyDescent="0.35">
      <c r="H635" s="90"/>
      <c r="I635" s="90"/>
    </row>
    <row r="636" spans="8:9" ht="15.75" customHeight="1" x14ac:dyDescent="0.35">
      <c r="H636" s="90"/>
      <c r="I636" s="90"/>
    </row>
    <row r="637" spans="8:9" ht="15.75" customHeight="1" x14ac:dyDescent="0.35">
      <c r="H637" s="90"/>
      <c r="I637" s="90"/>
    </row>
    <row r="638" spans="8:9" ht="15.75" customHeight="1" x14ac:dyDescent="0.35">
      <c r="H638" s="90"/>
      <c r="I638" s="90"/>
    </row>
    <row r="639" spans="8:9" ht="15.75" customHeight="1" x14ac:dyDescent="0.35">
      <c r="H639" s="90"/>
      <c r="I639" s="90"/>
    </row>
    <row r="640" spans="8:9" ht="15.75" customHeight="1" x14ac:dyDescent="0.35">
      <c r="H640" s="90"/>
      <c r="I640" s="90"/>
    </row>
    <row r="641" spans="8:9" ht="15.75" customHeight="1" x14ac:dyDescent="0.35">
      <c r="H641" s="90"/>
      <c r="I641" s="90"/>
    </row>
    <row r="642" spans="8:9" ht="15.75" customHeight="1" x14ac:dyDescent="0.35">
      <c r="H642" s="90"/>
      <c r="I642" s="90"/>
    </row>
    <row r="643" spans="8:9" ht="15.75" customHeight="1" x14ac:dyDescent="0.35">
      <c r="H643" s="90"/>
      <c r="I643" s="90"/>
    </row>
    <row r="644" spans="8:9" ht="15.75" customHeight="1" x14ac:dyDescent="0.35">
      <c r="H644" s="90"/>
      <c r="I644" s="90"/>
    </row>
    <row r="645" spans="8:9" ht="15.75" customHeight="1" x14ac:dyDescent="0.35">
      <c r="H645" s="90"/>
      <c r="I645" s="90"/>
    </row>
    <row r="646" spans="8:9" ht="15.75" customHeight="1" x14ac:dyDescent="0.35">
      <c r="H646" s="90"/>
      <c r="I646" s="90"/>
    </row>
    <row r="647" spans="8:9" ht="15.75" customHeight="1" x14ac:dyDescent="0.35">
      <c r="H647" s="90"/>
      <c r="I647" s="90"/>
    </row>
    <row r="648" spans="8:9" ht="15.75" customHeight="1" x14ac:dyDescent="0.35">
      <c r="H648" s="90"/>
      <c r="I648" s="90"/>
    </row>
    <row r="649" spans="8:9" ht="15.75" customHeight="1" x14ac:dyDescent="0.35">
      <c r="H649" s="90"/>
      <c r="I649" s="90"/>
    </row>
    <row r="650" spans="8:9" ht="15.75" customHeight="1" x14ac:dyDescent="0.35">
      <c r="H650" s="90"/>
      <c r="I650" s="90"/>
    </row>
    <row r="651" spans="8:9" ht="15.75" customHeight="1" x14ac:dyDescent="0.35">
      <c r="H651" s="90"/>
      <c r="I651" s="90"/>
    </row>
    <row r="652" spans="8:9" ht="15.75" customHeight="1" x14ac:dyDescent="0.35">
      <c r="H652" s="90"/>
      <c r="I652" s="90"/>
    </row>
    <row r="653" spans="8:9" ht="15.75" customHeight="1" x14ac:dyDescent="0.35">
      <c r="H653" s="90"/>
      <c r="I653" s="90"/>
    </row>
    <row r="654" spans="8:9" ht="15.75" customHeight="1" x14ac:dyDescent="0.35">
      <c r="H654" s="90"/>
      <c r="I654" s="90"/>
    </row>
    <row r="655" spans="8:9" ht="15.75" customHeight="1" x14ac:dyDescent="0.35">
      <c r="H655" s="90"/>
      <c r="I655" s="90"/>
    </row>
    <row r="656" spans="8:9" ht="15.75" customHeight="1" x14ac:dyDescent="0.35">
      <c r="H656" s="90"/>
      <c r="I656" s="90"/>
    </row>
    <row r="657" spans="8:9" ht="15.75" customHeight="1" x14ac:dyDescent="0.35">
      <c r="H657" s="90"/>
      <c r="I657" s="90"/>
    </row>
    <row r="658" spans="8:9" ht="15.75" customHeight="1" x14ac:dyDescent="0.35">
      <c r="H658" s="90"/>
      <c r="I658" s="90"/>
    </row>
    <row r="659" spans="8:9" ht="15.75" customHeight="1" x14ac:dyDescent="0.35">
      <c r="H659" s="90"/>
      <c r="I659" s="90"/>
    </row>
    <row r="660" spans="8:9" ht="15.75" customHeight="1" x14ac:dyDescent="0.35">
      <c r="H660" s="90"/>
      <c r="I660" s="90"/>
    </row>
    <row r="661" spans="8:9" ht="15.75" customHeight="1" x14ac:dyDescent="0.35">
      <c r="H661" s="90"/>
      <c r="I661" s="90"/>
    </row>
    <row r="662" spans="8:9" ht="15.75" customHeight="1" x14ac:dyDescent="0.35">
      <c r="H662" s="90"/>
      <c r="I662" s="90"/>
    </row>
    <row r="663" spans="8:9" ht="15.75" customHeight="1" x14ac:dyDescent="0.35">
      <c r="H663" s="90"/>
      <c r="I663" s="90"/>
    </row>
    <row r="664" spans="8:9" ht="15.75" customHeight="1" x14ac:dyDescent="0.35">
      <c r="H664" s="90"/>
      <c r="I664" s="90"/>
    </row>
    <row r="665" spans="8:9" ht="15.75" customHeight="1" x14ac:dyDescent="0.35">
      <c r="H665" s="90"/>
      <c r="I665" s="90"/>
    </row>
    <row r="666" spans="8:9" ht="15.75" customHeight="1" x14ac:dyDescent="0.35">
      <c r="H666" s="90"/>
      <c r="I666" s="90"/>
    </row>
    <row r="667" spans="8:9" ht="15.75" customHeight="1" x14ac:dyDescent="0.35">
      <c r="H667" s="90"/>
      <c r="I667" s="90"/>
    </row>
    <row r="668" spans="8:9" ht="15.75" customHeight="1" x14ac:dyDescent="0.35">
      <c r="H668" s="90"/>
      <c r="I668" s="90"/>
    </row>
    <row r="669" spans="8:9" ht="15.75" customHeight="1" x14ac:dyDescent="0.35">
      <c r="H669" s="90"/>
      <c r="I669" s="90"/>
    </row>
    <row r="670" spans="8:9" ht="15.75" customHeight="1" x14ac:dyDescent="0.35">
      <c r="H670" s="90"/>
      <c r="I670" s="90"/>
    </row>
    <row r="671" spans="8:9" ht="15.75" customHeight="1" x14ac:dyDescent="0.35">
      <c r="H671" s="90"/>
      <c r="I671" s="90"/>
    </row>
    <row r="672" spans="8:9" ht="15.75" customHeight="1" x14ac:dyDescent="0.35">
      <c r="H672" s="90"/>
      <c r="I672" s="90"/>
    </row>
    <row r="673" spans="8:9" ht="15.75" customHeight="1" x14ac:dyDescent="0.35">
      <c r="H673" s="90"/>
      <c r="I673" s="90"/>
    </row>
    <row r="674" spans="8:9" ht="15.75" customHeight="1" x14ac:dyDescent="0.35">
      <c r="H674" s="90"/>
      <c r="I674" s="90"/>
    </row>
    <row r="675" spans="8:9" ht="15.75" customHeight="1" x14ac:dyDescent="0.35">
      <c r="H675" s="90"/>
      <c r="I675" s="90"/>
    </row>
    <row r="676" spans="8:9" ht="15.75" customHeight="1" x14ac:dyDescent="0.35">
      <c r="H676" s="90"/>
      <c r="I676" s="90"/>
    </row>
    <row r="677" spans="8:9" ht="15.75" customHeight="1" x14ac:dyDescent="0.35">
      <c r="H677" s="90"/>
      <c r="I677" s="90"/>
    </row>
    <row r="678" spans="8:9" ht="15.75" customHeight="1" x14ac:dyDescent="0.35">
      <c r="H678" s="90"/>
      <c r="I678" s="90"/>
    </row>
    <row r="679" spans="8:9" ht="15.75" customHeight="1" x14ac:dyDescent="0.35">
      <c r="H679" s="90"/>
      <c r="I679" s="90"/>
    </row>
    <row r="680" spans="8:9" ht="15.75" customHeight="1" x14ac:dyDescent="0.35">
      <c r="H680" s="90"/>
      <c r="I680" s="90"/>
    </row>
    <row r="681" spans="8:9" ht="15.75" customHeight="1" x14ac:dyDescent="0.35">
      <c r="H681" s="90"/>
      <c r="I681" s="90"/>
    </row>
    <row r="682" spans="8:9" ht="15.75" customHeight="1" x14ac:dyDescent="0.35">
      <c r="H682" s="90"/>
      <c r="I682" s="90"/>
    </row>
    <row r="683" spans="8:9" ht="15.75" customHeight="1" x14ac:dyDescent="0.35">
      <c r="H683" s="90"/>
      <c r="I683" s="90"/>
    </row>
    <row r="684" spans="8:9" ht="15.75" customHeight="1" x14ac:dyDescent="0.35">
      <c r="H684" s="90"/>
      <c r="I684" s="90"/>
    </row>
    <row r="685" spans="8:9" ht="15.75" customHeight="1" x14ac:dyDescent="0.35">
      <c r="H685" s="90"/>
      <c r="I685" s="90"/>
    </row>
    <row r="686" spans="8:9" ht="15.75" customHeight="1" x14ac:dyDescent="0.35">
      <c r="H686" s="90"/>
      <c r="I686" s="90"/>
    </row>
    <row r="687" spans="8:9" ht="15.75" customHeight="1" x14ac:dyDescent="0.35">
      <c r="H687" s="90"/>
      <c r="I687" s="90"/>
    </row>
    <row r="688" spans="8:9" ht="15.75" customHeight="1" x14ac:dyDescent="0.35">
      <c r="H688" s="90"/>
      <c r="I688" s="90"/>
    </row>
    <row r="689" spans="8:9" ht="15.75" customHeight="1" x14ac:dyDescent="0.35">
      <c r="H689" s="90"/>
      <c r="I689" s="90"/>
    </row>
    <row r="690" spans="8:9" ht="15.75" customHeight="1" x14ac:dyDescent="0.35">
      <c r="H690" s="90"/>
      <c r="I690" s="90"/>
    </row>
    <row r="691" spans="8:9" ht="15.75" customHeight="1" x14ac:dyDescent="0.35">
      <c r="H691" s="90"/>
      <c r="I691" s="90"/>
    </row>
    <row r="692" spans="8:9" ht="15.75" customHeight="1" x14ac:dyDescent="0.35">
      <c r="H692" s="90"/>
      <c r="I692" s="90"/>
    </row>
    <row r="693" spans="8:9" ht="15.75" customHeight="1" x14ac:dyDescent="0.35">
      <c r="H693" s="90"/>
      <c r="I693" s="90"/>
    </row>
    <row r="694" spans="8:9" ht="15.75" customHeight="1" x14ac:dyDescent="0.35">
      <c r="H694" s="90"/>
      <c r="I694" s="90"/>
    </row>
    <row r="695" spans="8:9" ht="15.75" customHeight="1" x14ac:dyDescent="0.35">
      <c r="H695" s="90"/>
      <c r="I695" s="90"/>
    </row>
    <row r="696" spans="8:9" ht="15.75" customHeight="1" x14ac:dyDescent="0.35">
      <c r="H696" s="90"/>
      <c r="I696" s="90"/>
    </row>
    <row r="697" spans="8:9" ht="15.75" customHeight="1" x14ac:dyDescent="0.35">
      <c r="H697" s="90"/>
      <c r="I697" s="90"/>
    </row>
    <row r="698" spans="8:9" ht="15.75" customHeight="1" x14ac:dyDescent="0.35">
      <c r="H698" s="90"/>
      <c r="I698" s="90"/>
    </row>
    <row r="699" spans="8:9" ht="15.75" customHeight="1" x14ac:dyDescent="0.35">
      <c r="H699" s="90"/>
      <c r="I699" s="90"/>
    </row>
    <row r="700" spans="8:9" ht="15.75" customHeight="1" x14ac:dyDescent="0.35">
      <c r="H700" s="90"/>
      <c r="I700" s="90"/>
    </row>
    <row r="701" spans="8:9" ht="15.75" customHeight="1" x14ac:dyDescent="0.35">
      <c r="H701" s="90"/>
      <c r="I701" s="90"/>
    </row>
    <row r="702" spans="8:9" ht="15.75" customHeight="1" x14ac:dyDescent="0.35">
      <c r="H702" s="90"/>
      <c r="I702" s="90"/>
    </row>
    <row r="703" spans="8:9" ht="15.75" customHeight="1" x14ac:dyDescent="0.35">
      <c r="H703" s="90"/>
      <c r="I703" s="90"/>
    </row>
    <row r="704" spans="8:9" ht="15.75" customHeight="1" x14ac:dyDescent="0.35">
      <c r="H704" s="90"/>
      <c r="I704" s="90"/>
    </row>
    <row r="705" spans="8:9" ht="15.75" customHeight="1" x14ac:dyDescent="0.35">
      <c r="H705" s="90"/>
      <c r="I705" s="90"/>
    </row>
    <row r="706" spans="8:9" ht="15.75" customHeight="1" x14ac:dyDescent="0.35">
      <c r="H706" s="90"/>
      <c r="I706" s="90"/>
    </row>
    <row r="707" spans="8:9" ht="15.75" customHeight="1" x14ac:dyDescent="0.35">
      <c r="H707" s="90"/>
      <c r="I707" s="90"/>
    </row>
    <row r="708" spans="8:9" ht="15.75" customHeight="1" x14ac:dyDescent="0.35">
      <c r="H708" s="90"/>
      <c r="I708" s="90"/>
    </row>
    <row r="709" spans="8:9" ht="15.75" customHeight="1" x14ac:dyDescent="0.35">
      <c r="H709" s="90"/>
      <c r="I709" s="90"/>
    </row>
    <row r="710" spans="8:9" ht="15.75" customHeight="1" x14ac:dyDescent="0.35">
      <c r="H710" s="90"/>
      <c r="I710" s="90"/>
    </row>
    <row r="711" spans="8:9" ht="15.75" customHeight="1" x14ac:dyDescent="0.35">
      <c r="H711" s="90"/>
      <c r="I711" s="90"/>
    </row>
    <row r="712" spans="8:9" ht="15.75" customHeight="1" x14ac:dyDescent="0.35">
      <c r="H712" s="90"/>
      <c r="I712" s="90"/>
    </row>
    <row r="713" spans="8:9" ht="15.75" customHeight="1" x14ac:dyDescent="0.35">
      <c r="H713" s="90"/>
      <c r="I713" s="90"/>
    </row>
    <row r="714" spans="8:9" ht="15.75" customHeight="1" x14ac:dyDescent="0.35">
      <c r="H714" s="90"/>
      <c r="I714" s="90"/>
    </row>
    <row r="715" spans="8:9" ht="15.75" customHeight="1" x14ac:dyDescent="0.35">
      <c r="H715" s="90"/>
      <c r="I715" s="90"/>
    </row>
    <row r="716" spans="8:9" ht="15.75" customHeight="1" x14ac:dyDescent="0.35">
      <c r="H716" s="90"/>
      <c r="I716" s="90"/>
    </row>
    <row r="717" spans="8:9" ht="15.75" customHeight="1" x14ac:dyDescent="0.35">
      <c r="H717" s="90"/>
      <c r="I717" s="90"/>
    </row>
    <row r="718" spans="8:9" ht="15.75" customHeight="1" x14ac:dyDescent="0.35">
      <c r="H718" s="90"/>
      <c r="I718" s="90"/>
    </row>
    <row r="719" spans="8:9" ht="15.75" customHeight="1" x14ac:dyDescent="0.35">
      <c r="H719" s="90"/>
      <c r="I719" s="90"/>
    </row>
    <row r="720" spans="8:9" ht="15.75" customHeight="1" x14ac:dyDescent="0.35">
      <c r="H720" s="90"/>
      <c r="I720" s="90"/>
    </row>
    <row r="721" spans="8:9" ht="15.75" customHeight="1" x14ac:dyDescent="0.35">
      <c r="H721" s="90"/>
      <c r="I721" s="90"/>
    </row>
    <row r="722" spans="8:9" ht="15.75" customHeight="1" x14ac:dyDescent="0.35">
      <c r="H722" s="90"/>
      <c r="I722" s="90"/>
    </row>
    <row r="723" spans="8:9" ht="15.75" customHeight="1" x14ac:dyDescent="0.35">
      <c r="H723" s="90"/>
      <c r="I723" s="90"/>
    </row>
    <row r="724" spans="8:9" ht="15.75" customHeight="1" x14ac:dyDescent="0.35">
      <c r="H724" s="90"/>
      <c r="I724" s="90"/>
    </row>
    <row r="725" spans="8:9" ht="15.75" customHeight="1" x14ac:dyDescent="0.35">
      <c r="H725" s="90"/>
      <c r="I725" s="90"/>
    </row>
    <row r="726" spans="8:9" ht="15.75" customHeight="1" x14ac:dyDescent="0.35">
      <c r="H726" s="90"/>
      <c r="I726" s="90"/>
    </row>
    <row r="727" spans="8:9" ht="15.75" customHeight="1" x14ac:dyDescent="0.35">
      <c r="H727" s="90"/>
      <c r="I727" s="90"/>
    </row>
    <row r="728" spans="8:9" ht="15.75" customHeight="1" x14ac:dyDescent="0.35">
      <c r="H728" s="90"/>
      <c r="I728" s="90"/>
    </row>
    <row r="729" spans="8:9" ht="15.75" customHeight="1" x14ac:dyDescent="0.35">
      <c r="H729" s="90"/>
      <c r="I729" s="90"/>
    </row>
    <row r="730" spans="8:9" ht="15.75" customHeight="1" x14ac:dyDescent="0.35">
      <c r="H730" s="90"/>
      <c r="I730" s="90"/>
    </row>
    <row r="731" spans="8:9" ht="15.75" customHeight="1" x14ac:dyDescent="0.35">
      <c r="H731" s="90"/>
      <c r="I731" s="90"/>
    </row>
    <row r="732" spans="8:9" ht="15.75" customHeight="1" x14ac:dyDescent="0.35">
      <c r="H732" s="90"/>
      <c r="I732" s="90"/>
    </row>
    <row r="733" spans="8:9" ht="15.75" customHeight="1" x14ac:dyDescent="0.35">
      <c r="H733" s="90"/>
      <c r="I733" s="90"/>
    </row>
    <row r="734" spans="8:9" ht="15.75" customHeight="1" x14ac:dyDescent="0.35">
      <c r="H734" s="90"/>
      <c r="I734" s="90"/>
    </row>
    <row r="735" spans="8:9" ht="15.75" customHeight="1" x14ac:dyDescent="0.35">
      <c r="H735" s="90"/>
      <c r="I735" s="90"/>
    </row>
    <row r="736" spans="8:9" ht="15.75" customHeight="1" x14ac:dyDescent="0.35">
      <c r="H736" s="90"/>
      <c r="I736" s="90"/>
    </row>
    <row r="737" spans="8:9" ht="15.75" customHeight="1" x14ac:dyDescent="0.35">
      <c r="H737" s="90"/>
      <c r="I737" s="90"/>
    </row>
    <row r="738" spans="8:9" ht="15.75" customHeight="1" x14ac:dyDescent="0.35">
      <c r="H738" s="90"/>
      <c r="I738" s="90"/>
    </row>
    <row r="739" spans="8:9" ht="15.75" customHeight="1" x14ac:dyDescent="0.35">
      <c r="H739" s="90"/>
      <c r="I739" s="90"/>
    </row>
    <row r="740" spans="8:9" ht="15.75" customHeight="1" x14ac:dyDescent="0.35">
      <c r="H740" s="90"/>
      <c r="I740" s="90"/>
    </row>
    <row r="741" spans="8:9" ht="15.75" customHeight="1" x14ac:dyDescent="0.35">
      <c r="H741" s="90"/>
      <c r="I741" s="90"/>
    </row>
    <row r="742" spans="8:9" ht="15.75" customHeight="1" x14ac:dyDescent="0.35">
      <c r="H742" s="90"/>
      <c r="I742" s="90"/>
    </row>
    <row r="743" spans="8:9" ht="15.75" customHeight="1" x14ac:dyDescent="0.35">
      <c r="H743" s="90"/>
      <c r="I743" s="90"/>
    </row>
    <row r="744" spans="8:9" ht="15.75" customHeight="1" x14ac:dyDescent="0.35">
      <c r="H744" s="90"/>
      <c r="I744" s="90"/>
    </row>
    <row r="745" spans="8:9" ht="15.75" customHeight="1" x14ac:dyDescent="0.35">
      <c r="H745" s="90"/>
      <c r="I745" s="90"/>
    </row>
    <row r="746" spans="8:9" ht="15.75" customHeight="1" x14ac:dyDescent="0.35">
      <c r="H746" s="90"/>
      <c r="I746" s="90"/>
    </row>
    <row r="747" spans="8:9" ht="15.75" customHeight="1" x14ac:dyDescent="0.35">
      <c r="H747" s="90"/>
      <c r="I747" s="90"/>
    </row>
    <row r="748" spans="8:9" ht="15.75" customHeight="1" x14ac:dyDescent="0.35">
      <c r="H748" s="90"/>
      <c r="I748" s="90"/>
    </row>
    <row r="749" spans="8:9" ht="15.75" customHeight="1" x14ac:dyDescent="0.35">
      <c r="H749" s="90"/>
      <c r="I749" s="90"/>
    </row>
    <row r="750" spans="8:9" ht="15.75" customHeight="1" x14ac:dyDescent="0.35">
      <c r="H750" s="90"/>
      <c r="I750" s="90"/>
    </row>
    <row r="751" spans="8:9" ht="15.75" customHeight="1" x14ac:dyDescent="0.35">
      <c r="H751" s="90"/>
      <c r="I751" s="90"/>
    </row>
    <row r="752" spans="8:9" ht="15.75" customHeight="1" x14ac:dyDescent="0.35">
      <c r="H752" s="90"/>
      <c r="I752" s="90"/>
    </row>
    <row r="753" spans="8:9" ht="15.75" customHeight="1" x14ac:dyDescent="0.35">
      <c r="H753" s="90"/>
      <c r="I753" s="90"/>
    </row>
    <row r="754" spans="8:9" ht="15.75" customHeight="1" x14ac:dyDescent="0.35">
      <c r="H754" s="90"/>
      <c r="I754" s="90"/>
    </row>
    <row r="755" spans="8:9" ht="15.75" customHeight="1" x14ac:dyDescent="0.35">
      <c r="H755" s="90"/>
      <c r="I755" s="90"/>
    </row>
    <row r="756" spans="8:9" ht="15.75" customHeight="1" x14ac:dyDescent="0.35">
      <c r="H756" s="90"/>
      <c r="I756" s="90"/>
    </row>
    <row r="757" spans="8:9" ht="15.75" customHeight="1" x14ac:dyDescent="0.35">
      <c r="H757" s="90"/>
      <c r="I757" s="90"/>
    </row>
    <row r="758" spans="8:9" ht="15.75" customHeight="1" x14ac:dyDescent="0.35">
      <c r="H758" s="90"/>
      <c r="I758" s="90"/>
    </row>
    <row r="759" spans="8:9" ht="15.75" customHeight="1" x14ac:dyDescent="0.35">
      <c r="H759" s="90"/>
      <c r="I759" s="90"/>
    </row>
    <row r="760" spans="8:9" ht="15.75" customHeight="1" x14ac:dyDescent="0.35">
      <c r="H760" s="90"/>
      <c r="I760" s="90"/>
    </row>
    <row r="761" spans="8:9" ht="15.75" customHeight="1" x14ac:dyDescent="0.35">
      <c r="H761" s="90"/>
      <c r="I761" s="90"/>
    </row>
    <row r="762" spans="8:9" ht="15.75" customHeight="1" x14ac:dyDescent="0.35">
      <c r="H762" s="90"/>
      <c r="I762" s="90"/>
    </row>
    <row r="763" spans="8:9" ht="15.75" customHeight="1" x14ac:dyDescent="0.35">
      <c r="H763" s="90"/>
      <c r="I763" s="90"/>
    </row>
    <row r="764" spans="8:9" ht="15.75" customHeight="1" x14ac:dyDescent="0.35">
      <c r="H764" s="90"/>
      <c r="I764" s="90"/>
    </row>
    <row r="765" spans="8:9" ht="15.75" customHeight="1" x14ac:dyDescent="0.35">
      <c r="H765" s="90"/>
      <c r="I765" s="90"/>
    </row>
    <row r="766" spans="8:9" ht="15.75" customHeight="1" x14ac:dyDescent="0.35">
      <c r="H766" s="90"/>
      <c r="I766" s="90"/>
    </row>
    <row r="767" spans="8:9" ht="15.75" customHeight="1" x14ac:dyDescent="0.35">
      <c r="H767" s="90"/>
      <c r="I767" s="90"/>
    </row>
    <row r="768" spans="8:9" ht="15.75" customHeight="1" x14ac:dyDescent="0.35">
      <c r="H768" s="90"/>
      <c r="I768" s="90"/>
    </row>
    <row r="769" spans="8:9" ht="15.75" customHeight="1" x14ac:dyDescent="0.35">
      <c r="H769" s="90"/>
      <c r="I769" s="90"/>
    </row>
    <row r="770" spans="8:9" ht="15.75" customHeight="1" x14ac:dyDescent="0.35">
      <c r="H770" s="90"/>
      <c r="I770" s="90"/>
    </row>
    <row r="771" spans="8:9" ht="15.75" customHeight="1" x14ac:dyDescent="0.35">
      <c r="H771" s="90"/>
      <c r="I771" s="90"/>
    </row>
    <row r="772" spans="8:9" ht="15.75" customHeight="1" x14ac:dyDescent="0.35">
      <c r="H772" s="90"/>
      <c r="I772" s="90"/>
    </row>
    <row r="773" spans="8:9" ht="15.75" customHeight="1" x14ac:dyDescent="0.35">
      <c r="H773" s="90"/>
      <c r="I773" s="90"/>
    </row>
    <row r="774" spans="8:9" ht="15.75" customHeight="1" x14ac:dyDescent="0.35">
      <c r="H774" s="90"/>
      <c r="I774" s="90"/>
    </row>
    <row r="775" spans="8:9" ht="15.75" customHeight="1" x14ac:dyDescent="0.35">
      <c r="H775" s="90"/>
      <c r="I775" s="90"/>
    </row>
    <row r="776" spans="8:9" ht="15.75" customHeight="1" x14ac:dyDescent="0.35">
      <c r="H776" s="90"/>
      <c r="I776" s="90"/>
    </row>
    <row r="777" spans="8:9" ht="15.75" customHeight="1" x14ac:dyDescent="0.35">
      <c r="H777" s="90"/>
      <c r="I777" s="90"/>
    </row>
    <row r="778" spans="8:9" ht="15.75" customHeight="1" x14ac:dyDescent="0.35">
      <c r="H778" s="90"/>
      <c r="I778" s="90"/>
    </row>
    <row r="779" spans="8:9" ht="15.75" customHeight="1" x14ac:dyDescent="0.35">
      <c r="H779" s="90"/>
      <c r="I779" s="90"/>
    </row>
    <row r="780" spans="8:9" ht="15.75" customHeight="1" x14ac:dyDescent="0.35">
      <c r="H780" s="90"/>
      <c r="I780" s="90"/>
    </row>
    <row r="781" spans="8:9" ht="15.75" customHeight="1" x14ac:dyDescent="0.35">
      <c r="H781" s="90"/>
      <c r="I781" s="90"/>
    </row>
    <row r="782" spans="8:9" ht="15.75" customHeight="1" x14ac:dyDescent="0.35">
      <c r="H782" s="90"/>
      <c r="I782" s="90"/>
    </row>
    <row r="783" spans="8:9" ht="15.75" customHeight="1" x14ac:dyDescent="0.35">
      <c r="H783" s="90"/>
      <c r="I783" s="90"/>
    </row>
    <row r="784" spans="8:9" ht="15.75" customHeight="1" x14ac:dyDescent="0.35">
      <c r="H784" s="90"/>
      <c r="I784" s="90"/>
    </row>
    <row r="785" spans="8:9" ht="15.75" customHeight="1" x14ac:dyDescent="0.35">
      <c r="H785" s="90"/>
      <c r="I785" s="90"/>
    </row>
    <row r="786" spans="8:9" ht="15.75" customHeight="1" x14ac:dyDescent="0.35">
      <c r="H786" s="90"/>
      <c r="I786" s="90"/>
    </row>
    <row r="787" spans="8:9" ht="15.75" customHeight="1" x14ac:dyDescent="0.35">
      <c r="H787" s="90"/>
      <c r="I787" s="90"/>
    </row>
    <row r="788" spans="8:9" ht="15.75" customHeight="1" x14ac:dyDescent="0.35">
      <c r="H788" s="90"/>
      <c r="I788" s="90"/>
    </row>
    <row r="789" spans="8:9" ht="15.75" customHeight="1" x14ac:dyDescent="0.35">
      <c r="H789" s="90"/>
      <c r="I789" s="90"/>
    </row>
    <row r="790" spans="8:9" ht="15.75" customHeight="1" x14ac:dyDescent="0.35">
      <c r="H790" s="90"/>
      <c r="I790" s="90"/>
    </row>
    <row r="791" spans="8:9" ht="15.75" customHeight="1" x14ac:dyDescent="0.35">
      <c r="H791" s="90"/>
      <c r="I791" s="90"/>
    </row>
    <row r="792" spans="8:9" ht="15.75" customHeight="1" x14ac:dyDescent="0.35">
      <c r="H792" s="90"/>
      <c r="I792" s="90"/>
    </row>
    <row r="793" spans="8:9" ht="15.75" customHeight="1" x14ac:dyDescent="0.35">
      <c r="H793" s="90"/>
      <c r="I793" s="90"/>
    </row>
    <row r="794" spans="8:9" ht="15.75" customHeight="1" x14ac:dyDescent="0.35">
      <c r="H794" s="90"/>
      <c r="I794" s="90"/>
    </row>
    <row r="795" spans="8:9" ht="15.75" customHeight="1" x14ac:dyDescent="0.35">
      <c r="H795" s="90"/>
      <c r="I795" s="90"/>
    </row>
    <row r="796" spans="8:9" ht="15.75" customHeight="1" x14ac:dyDescent="0.35">
      <c r="H796" s="90"/>
      <c r="I796" s="90"/>
    </row>
    <row r="797" spans="8:9" ht="15.75" customHeight="1" x14ac:dyDescent="0.35">
      <c r="H797" s="90"/>
      <c r="I797" s="90"/>
    </row>
    <row r="798" spans="8:9" ht="15.75" customHeight="1" x14ac:dyDescent="0.35">
      <c r="H798" s="90"/>
      <c r="I798" s="90"/>
    </row>
    <row r="799" spans="8:9" ht="15.75" customHeight="1" x14ac:dyDescent="0.35">
      <c r="H799" s="90"/>
      <c r="I799" s="90"/>
    </row>
    <row r="800" spans="8:9" ht="15.75" customHeight="1" x14ac:dyDescent="0.35">
      <c r="H800" s="90"/>
      <c r="I800" s="90"/>
    </row>
    <row r="801" spans="8:9" ht="15.75" customHeight="1" x14ac:dyDescent="0.35">
      <c r="H801" s="90"/>
      <c r="I801" s="90"/>
    </row>
    <row r="802" spans="8:9" ht="15.75" customHeight="1" x14ac:dyDescent="0.35">
      <c r="H802" s="90"/>
      <c r="I802" s="90"/>
    </row>
    <row r="803" spans="8:9" ht="15.75" customHeight="1" x14ac:dyDescent="0.35">
      <c r="H803" s="90"/>
      <c r="I803" s="90"/>
    </row>
    <row r="804" spans="8:9" ht="15.75" customHeight="1" x14ac:dyDescent="0.35">
      <c r="H804" s="90"/>
      <c r="I804" s="90"/>
    </row>
    <row r="805" spans="8:9" ht="15.75" customHeight="1" x14ac:dyDescent="0.35">
      <c r="H805" s="90"/>
      <c r="I805" s="90"/>
    </row>
    <row r="806" spans="8:9" ht="15.75" customHeight="1" x14ac:dyDescent="0.35">
      <c r="H806" s="90"/>
      <c r="I806" s="90"/>
    </row>
    <row r="807" spans="8:9" ht="15.75" customHeight="1" x14ac:dyDescent="0.35">
      <c r="H807" s="90"/>
      <c r="I807" s="90"/>
    </row>
    <row r="808" spans="8:9" ht="15.75" customHeight="1" x14ac:dyDescent="0.35">
      <c r="H808" s="90"/>
      <c r="I808" s="90"/>
    </row>
    <row r="809" spans="8:9" ht="15.75" customHeight="1" x14ac:dyDescent="0.35">
      <c r="H809" s="90"/>
      <c r="I809" s="90"/>
    </row>
    <row r="810" spans="8:9" ht="15.75" customHeight="1" x14ac:dyDescent="0.35">
      <c r="H810" s="90"/>
      <c r="I810" s="90"/>
    </row>
    <row r="811" spans="8:9" ht="15.75" customHeight="1" x14ac:dyDescent="0.35">
      <c r="H811" s="90"/>
      <c r="I811" s="90"/>
    </row>
    <row r="812" spans="8:9" ht="15.75" customHeight="1" x14ac:dyDescent="0.35">
      <c r="H812" s="90"/>
      <c r="I812" s="90"/>
    </row>
    <row r="813" spans="8:9" ht="15.75" customHeight="1" x14ac:dyDescent="0.35">
      <c r="H813" s="90"/>
      <c r="I813" s="90"/>
    </row>
    <row r="814" spans="8:9" ht="15.75" customHeight="1" x14ac:dyDescent="0.35">
      <c r="H814" s="90"/>
      <c r="I814" s="90"/>
    </row>
    <row r="815" spans="8:9" ht="15.75" customHeight="1" x14ac:dyDescent="0.35">
      <c r="H815" s="90"/>
      <c r="I815" s="90"/>
    </row>
    <row r="816" spans="8:9" ht="15.75" customHeight="1" x14ac:dyDescent="0.35">
      <c r="H816" s="90"/>
      <c r="I816" s="90"/>
    </row>
    <row r="817" spans="8:9" ht="15.75" customHeight="1" x14ac:dyDescent="0.35">
      <c r="H817" s="90"/>
      <c r="I817" s="90"/>
    </row>
    <row r="818" spans="8:9" ht="15.75" customHeight="1" x14ac:dyDescent="0.35">
      <c r="H818" s="90"/>
      <c r="I818" s="90"/>
    </row>
    <row r="819" spans="8:9" ht="15.75" customHeight="1" x14ac:dyDescent="0.35">
      <c r="H819" s="90"/>
      <c r="I819" s="90"/>
    </row>
    <row r="820" spans="8:9" ht="15.75" customHeight="1" x14ac:dyDescent="0.35">
      <c r="H820" s="90"/>
      <c r="I820" s="90"/>
    </row>
    <row r="821" spans="8:9" ht="15.75" customHeight="1" x14ac:dyDescent="0.35">
      <c r="H821" s="90"/>
      <c r="I821" s="90"/>
    </row>
    <row r="822" spans="8:9" ht="15.75" customHeight="1" x14ac:dyDescent="0.35">
      <c r="H822" s="90"/>
      <c r="I822" s="90"/>
    </row>
    <row r="823" spans="8:9" ht="15.75" customHeight="1" x14ac:dyDescent="0.35">
      <c r="H823" s="90"/>
      <c r="I823" s="90"/>
    </row>
    <row r="824" spans="8:9" ht="15.75" customHeight="1" x14ac:dyDescent="0.35">
      <c r="H824" s="90"/>
      <c r="I824" s="90"/>
    </row>
    <row r="825" spans="8:9" ht="15.75" customHeight="1" x14ac:dyDescent="0.35">
      <c r="H825" s="90"/>
      <c r="I825" s="90"/>
    </row>
    <row r="826" spans="8:9" ht="15.75" customHeight="1" x14ac:dyDescent="0.35">
      <c r="H826" s="90"/>
      <c r="I826" s="90"/>
    </row>
    <row r="827" spans="8:9" ht="15.75" customHeight="1" x14ac:dyDescent="0.35">
      <c r="H827" s="90"/>
      <c r="I827" s="90"/>
    </row>
    <row r="828" spans="8:9" ht="15.75" customHeight="1" x14ac:dyDescent="0.35">
      <c r="H828" s="90"/>
      <c r="I828" s="90"/>
    </row>
    <row r="829" spans="8:9" ht="15.75" customHeight="1" x14ac:dyDescent="0.35">
      <c r="H829" s="90"/>
      <c r="I829" s="90"/>
    </row>
    <row r="830" spans="8:9" ht="15.75" customHeight="1" x14ac:dyDescent="0.35">
      <c r="H830" s="90"/>
      <c r="I830" s="90"/>
    </row>
    <row r="831" spans="8:9" ht="15.75" customHeight="1" x14ac:dyDescent="0.35">
      <c r="H831" s="90"/>
      <c r="I831" s="90"/>
    </row>
    <row r="832" spans="8:9" ht="15.75" customHeight="1" x14ac:dyDescent="0.35">
      <c r="H832" s="90"/>
      <c r="I832" s="90"/>
    </row>
    <row r="833" spans="8:9" ht="15.75" customHeight="1" x14ac:dyDescent="0.35">
      <c r="H833" s="90"/>
      <c r="I833" s="90"/>
    </row>
    <row r="834" spans="8:9" ht="15.75" customHeight="1" x14ac:dyDescent="0.35">
      <c r="H834" s="90"/>
      <c r="I834" s="90"/>
    </row>
    <row r="835" spans="8:9" ht="15.75" customHeight="1" x14ac:dyDescent="0.35">
      <c r="H835" s="90"/>
      <c r="I835" s="90"/>
    </row>
    <row r="836" spans="8:9" ht="15.75" customHeight="1" x14ac:dyDescent="0.35">
      <c r="H836" s="90"/>
      <c r="I836" s="90"/>
    </row>
    <row r="837" spans="8:9" ht="15.75" customHeight="1" x14ac:dyDescent="0.35">
      <c r="H837" s="90"/>
      <c r="I837" s="90"/>
    </row>
    <row r="838" spans="8:9" ht="15.75" customHeight="1" x14ac:dyDescent="0.35">
      <c r="H838" s="90"/>
      <c r="I838" s="90"/>
    </row>
    <row r="839" spans="8:9" ht="15.75" customHeight="1" x14ac:dyDescent="0.35">
      <c r="H839" s="90"/>
      <c r="I839" s="90"/>
    </row>
    <row r="840" spans="8:9" ht="15.75" customHeight="1" x14ac:dyDescent="0.35">
      <c r="H840" s="90"/>
      <c r="I840" s="90"/>
    </row>
    <row r="841" spans="8:9" ht="15.75" customHeight="1" x14ac:dyDescent="0.35">
      <c r="H841" s="90"/>
      <c r="I841" s="90"/>
    </row>
    <row r="842" spans="8:9" ht="15.75" customHeight="1" x14ac:dyDescent="0.35">
      <c r="H842" s="90"/>
      <c r="I842" s="90"/>
    </row>
    <row r="843" spans="8:9" ht="15.75" customHeight="1" x14ac:dyDescent="0.35">
      <c r="H843" s="90"/>
      <c r="I843" s="90"/>
    </row>
    <row r="844" spans="8:9" ht="15.75" customHeight="1" x14ac:dyDescent="0.35">
      <c r="H844" s="90"/>
      <c r="I844" s="90"/>
    </row>
    <row r="845" spans="8:9" ht="15.75" customHeight="1" x14ac:dyDescent="0.35">
      <c r="H845" s="90"/>
      <c r="I845" s="90"/>
    </row>
    <row r="846" spans="8:9" ht="15.75" customHeight="1" x14ac:dyDescent="0.35">
      <c r="H846" s="90"/>
      <c r="I846" s="90"/>
    </row>
    <row r="847" spans="8:9" ht="15.75" customHeight="1" x14ac:dyDescent="0.35">
      <c r="H847" s="90"/>
      <c r="I847" s="90"/>
    </row>
    <row r="848" spans="8:9" ht="15.75" customHeight="1" x14ac:dyDescent="0.35">
      <c r="H848" s="90"/>
      <c r="I848" s="90"/>
    </row>
    <row r="849" spans="8:9" ht="15.75" customHeight="1" x14ac:dyDescent="0.35">
      <c r="H849" s="90"/>
      <c r="I849" s="90"/>
    </row>
    <row r="850" spans="8:9" ht="15.75" customHeight="1" x14ac:dyDescent="0.35">
      <c r="H850" s="90"/>
      <c r="I850" s="90"/>
    </row>
    <row r="851" spans="8:9" ht="15.75" customHeight="1" x14ac:dyDescent="0.35">
      <c r="H851" s="90"/>
      <c r="I851" s="90"/>
    </row>
    <row r="852" spans="8:9" ht="15.75" customHeight="1" x14ac:dyDescent="0.35">
      <c r="H852" s="90"/>
      <c r="I852" s="90"/>
    </row>
    <row r="853" spans="8:9" ht="15.75" customHeight="1" x14ac:dyDescent="0.35">
      <c r="H853" s="90"/>
      <c r="I853" s="90"/>
    </row>
    <row r="854" spans="8:9" ht="15.75" customHeight="1" x14ac:dyDescent="0.35">
      <c r="H854" s="90"/>
      <c r="I854" s="90"/>
    </row>
    <row r="855" spans="8:9" ht="15.75" customHeight="1" x14ac:dyDescent="0.35">
      <c r="H855" s="90"/>
      <c r="I855" s="90"/>
    </row>
    <row r="856" spans="8:9" ht="15.75" customHeight="1" x14ac:dyDescent="0.35">
      <c r="H856" s="90"/>
      <c r="I856" s="90"/>
    </row>
    <row r="857" spans="8:9" ht="15.75" customHeight="1" x14ac:dyDescent="0.35">
      <c r="H857" s="90"/>
      <c r="I857" s="90"/>
    </row>
    <row r="858" spans="8:9" ht="15.75" customHeight="1" x14ac:dyDescent="0.35">
      <c r="H858" s="90"/>
      <c r="I858" s="90"/>
    </row>
    <row r="859" spans="8:9" ht="15.75" customHeight="1" x14ac:dyDescent="0.35">
      <c r="H859" s="90"/>
      <c r="I859" s="90"/>
    </row>
    <row r="860" spans="8:9" ht="15.75" customHeight="1" x14ac:dyDescent="0.35">
      <c r="H860" s="90"/>
      <c r="I860" s="90"/>
    </row>
    <row r="861" spans="8:9" ht="15.75" customHeight="1" x14ac:dyDescent="0.35">
      <c r="H861" s="90"/>
      <c r="I861" s="90"/>
    </row>
    <row r="862" spans="8:9" ht="15.75" customHeight="1" x14ac:dyDescent="0.35">
      <c r="H862" s="90"/>
      <c r="I862" s="90"/>
    </row>
    <row r="863" spans="8:9" ht="15.75" customHeight="1" x14ac:dyDescent="0.35">
      <c r="H863" s="90"/>
      <c r="I863" s="90"/>
    </row>
    <row r="864" spans="8:9" ht="15.75" customHeight="1" x14ac:dyDescent="0.35">
      <c r="H864" s="90"/>
      <c r="I864" s="90"/>
    </row>
    <row r="865" spans="8:9" ht="15.75" customHeight="1" x14ac:dyDescent="0.35">
      <c r="H865" s="90"/>
      <c r="I865" s="90"/>
    </row>
    <row r="866" spans="8:9" ht="15.75" customHeight="1" x14ac:dyDescent="0.35">
      <c r="H866" s="90"/>
      <c r="I866" s="90"/>
    </row>
    <row r="867" spans="8:9" ht="15.75" customHeight="1" x14ac:dyDescent="0.35">
      <c r="H867" s="90"/>
      <c r="I867" s="90"/>
    </row>
    <row r="868" spans="8:9" ht="15.75" customHeight="1" x14ac:dyDescent="0.35">
      <c r="H868" s="90"/>
      <c r="I868" s="90"/>
    </row>
    <row r="869" spans="8:9" ht="15.75" customHeight="1" x14ac:dyDescent="0.35">
      <c r="H869" s="90"/>
      <c r="I869" s="90"/>
    </row>
    <row r="870" spans="8:9" ht="15.75" customHeight="1" x14ac:dyDescent="0.35">
      <c r="H870" s="90"/>
      <c r="I870" s="90"/>
    </row>
    <row r="871" spans="8:9" ht="15.75" customHeight="1" x14ac:dyDescent="0.35">
      <c r="H871" s="90"/>
      <c r="I871" s="90"/>
    </row>
    <row r="872" spans="8:9" ht="15.75" customHeight="1" x14ac:dyDescent="0.35">
      <c r="H872" s="90"/>
      <c r="I872" s="90"/>
    </row>
    <row r="873" spans="8:9" ht="15.75" customHeight="1" x14ac:dyDescent="0.35">
      <c r="H873" s="90"/>
      <c r="I873" s="90"/>
    </row>
    <row r="874" spans="8:9" ht="15.75" customHeight="1" x14ac:dyDescent="0.35">
      <c r="H874" s="90"/>
      <c r="I874" s="90"/>
    </row>
    <row r="875" spans="8:9" ht="15.75" customHeight="1" x14ac:dyDescent="0.35">
      <c r="H875" s="90"/>
      <c r="I875" s="90"/>
    </row>
    <row r="876" spans="8:9" ht="15.75" customHeight="1" x14ac:dyDescent="0.35">
      <c r="H876" s="90"/>
      <c r="I876" s="90"/>
    </row>
    <row r="877" spans="8:9" ht="15.75" customHeight="1" x14ac:dyDescent="0.35">
      <c r="H877" s="90"/>
      <c r="I877" s="90"/>
    </row>
    <row r="878" spans="8:9" ht="15.75" customHeight="1" x14ac:dyDescent="0.35">
      <c r="H878" s="90"/>
      <c r="I878" s="90"/>
    </row>
    <row r="879" spans="8:9" ht="15.75" customHeight="1" x14ac:dyDescent="0.35">
      <c r="H879" s="90"/>
      <c r="I879" s="90"/>
    </row>
    <row r="880" spans="8:9" ht="15.75" customHeight="1" x14ac:dyDescent="0.35">
      <c r="H880" s="90"/>
      <c r="I880" s="90"/>
    </row>
    <row r="881" spans="8:9" ht="15.75" customHeight="1" x14ac:dyDescent="0.35">
      <c r="H881" s="90"/>
      <c r="I881" s="90"/>
    </row>
    <row r="882" spans="8:9" ht="15.75" customHeight="1" x14ac:dyDescent="0.35">
      <c r="H882" s="90"/>
      <c r="I882" s="90"/>
    </row>
    <row r="883" spans="8:9" ht="15.75" customHeight="1" x14ac:dyDescent="0.35">
      <c r="H883" s="90"/>
      <c r="I883" s="90"/>
    </row>
    <row r="884" spans="8:9" ht="15.75" customHeight="1" x14ac:dyDescent="0.35">
      <c r="H884" s="90"/>
      <c r="I884" s="90"/>
    </row>
    <row r="885" spans="8:9" ht="15.75" customHeight="1" x14ac:dyDescent="0.35">
      <c r="H885" s="90"/>
      <c r="I885" s="90"/>
    </row>
    <row r="886" spans="8:9" ht="15.75" customHeight="1" x14ac:dyDescent="0.35">
      <c r="H886" s="90"/>
      <c r="I886" s="90"/>
    </row>
    <row r="887" spans="8:9" ht="15.75" customHeight="1" x14ac:dyDescent="0.35">
      <c r="H887" s="90"/>
      <c r="I887" s="90"/>
    </row>
    <row r="888" spans="8:9" ht="15.75" customHeight="1" x14ac:dyDescent="0.35">
      <c r="H888" s="90"/>
      <c r="I888" s="90"/>
    </row>
    <row r="889" spans="8:9" ht="15.75" customHeight="1" x14ac:dyDescent="0.35">
      <c r="H889" s="90"/>
      <c r="I889" s="90"/>
    </row>
    <row r="890" spans="8:9" ht="15.75" customHeight="1" x14ac:dyDescent="0.35">
      <c r="H890" s="90"/>
      <c r="I890" s="90"/>
    </row>
    <row r="891" spans="8:9" ht="15.75" customHeight="1" x14ac:dyDescent="0.35">
      <c r="H891" s="90"/>
      <c r="I891" s="90"/>
    </row>
    <row r="892" spans="8:9" ht="15.75" customHeight="1" x14ac:dyDescent="0.35">
      <c r="H892" s="90"/>
      <c r="I892" s="90"/>
    </row>
    <row r="893" spans="8:9" ht="15.75" customHeight="1" x14ac:dyDescent="0.35">
      <c r="H893" s="90"/>
      <c r="I893" s="90"/>
    </row>
    <row r="894" spans="8:9" ht="15.75" customHeight="1" x14ac:dyDescent="0.35">
      <c r="H894" s="90"/>
      <c r="I894" s="90"/>
    </row>
    <row r="895" spans="8:9" ht="15.75" customHeight="1" x14ac:dyDescent="0.35">
      <c r="H895" s="90"/>
      <c r="I895" s="90"/>
    </row>
    <row r="896" spans="8:9" ht="15.75" customHeight="1" x14ac:dyDescent="0.35">
      <c r="H896" s="90"/>
      <c r="I896" s="90"/>
    </row>
    <row r="897" spans="8:9" ht="15.75" customHeight="1" x14ac:dyDescent="0.35">
      <c r="H897" s="90"/>
      <c r="I897" s="90"/>
    </row>
    <row r="898" spans="8:9" ht="15.75" customHeight="1" x14ac:dyDescent="0.35">
      <c r="H898" s="90"/>
      <c r="I898" s="90"/>
    </row>
    <row r="899" spans="8:9" ht="15.75" customHeight="1" x14ac:dyDescent="0.35">
      <c r="H899" s="90"/>
      <c r="I899" s="90"/>
    </row>
    <row r="900" spans="8:9" ht="15.75" customHeight="1" x14ac:dyDescent="0.35">
      <c r="H900" s="90"/>
      <c r="I900" s="90"/>
    </row>
    <row r="901" spans="8:9" ht="15.75" customHeight="1" x14ac:dyDescent="0.35">
      <c r="H901" s="90"/>
      <c r="I901" s="90"/>
    </row>
    <row r="902" spans="8:9" ht="15.75" customHeight="1" x14ac:dyDescent="0.35">
      <c r="H902" s="90"/>
      <c r="I902" s="90"/>
    </row>
    <row r="903" spans="8:9" ht="15.75" customHeight="1" x14ac:dyDescent="0.35">
      <c r="H903" s="90"/>
      <c r="I903" s="90"/>
    </row>
    <row r="904" spans="8:9" ht="15.75" customHeight="1" x14ac:dyDescent="0.35">
      <c r="H904" s="90"/>
      <c r="I904" s="90"/>
    </row>
    <row r="905" spans="8:9" ht="15.75" customHeight="1" x14ac:dyDescent="0.35">
      <c r="H905" s="90"/>
      <c r="I905" s="90"/>
    </row>
    <row r="906" spans="8:9" ht="15.75" customHeight="1" x14ac:dyDescent="0.35">
      <c r="H906" s="90"/>
      <c r="I906" s="90"/>
    </row>
    <row r="907" spans="8:9" ht="15.75" customHeight="1" x14ac:dyDescent="0.35">
      <c r="H907" s="90"/>
      <c r="I907" s="90"/>
    </row>
    <row r="908" spans="8:9" ht="15.75" customHeight="1" x14ac:dyDescent="0.35">
      <c r="H908" s="90"/>
      <c r="I908" s="90"/>
    </row>
    <row r="909" spans="8:9" ht="15.75" customHeight="1" x14ac:dyDescent="0.35">
      <c r="H909" s="90"/>
      <c r="I909" s="90"/>
    </row>
    <row r="910" spans="8:9" ht="15.75" customHeight="1" x14ac:dyDescent="0.35">
      <c r="H910" s="90"/>
      <c r="I910" s="90"/>
    </row>
    <row r="911" spans="8:9" ht="15.75" customHeight="1" x14ac:dyDescent="0.35">
      <c r="H911" s="90"/>
      <c r="I911" s="90"/>
    </row>
    <row r="912" spans="8:9" ht="15.75" customHeight="1" x14ac:dyDescent="0.35">
      <c r="H912" s="90"/>
      <c r="I912" s="90"/>
    </row>
    <row r="913" spans="8:9" ht="15.75" customHeight="1" x14ac:dyDescent="0.35">
      <c r="H913" s="90"/>
      <c r="I913" s="90"/>
    </row>
    <row r="914" spans="8:9" ht="15.75" customHeight="1" x14ac:dyDescent="0.35">
      <c r="H914" s="90"/>
      <c r="I914" s="90"/>
    </row>
    <row r="915" spans="8:9" ht="15.75" customHeight="1" x14ac:dyDescent="0.35">
      <c r="H915" s="90"/>
      <c r="I915" s="90"/>
    </row>
    <row r="916" spans="8:9" ht="15.75" customHeight="1" x14ac:dyDescent="0.35">
      <c r="H916" s="90"/>
      <c r="I916" s="90"/>
    </row>
    <row r="917" spans="8:9" ht="15.75" customHeight="1" x14ac:dyDescent="0.35">
      <c r="H917" s="90"/>
      <c r="I917" s="90"/>
    </row>
    <row r="918" spans="8:9" ht="15.75" customHeight="1" x14ac:dyDescent="0.35">
      <c r="H918" s="90"/>
      <c r="I918" s="90"/>
    </row>
    <row r="919" spans="8:9" ht="15.75" customHeight="1" x14ac:dyDescent="0.35">
      <c r="H919" s="90"/>
      <c r="I919" s="90"/>
    </row>
    <row r="920" spans="8:9" ht="15.75" customHeight="1" x14ac:dyDescent="0.35">
      <c r="H920" s="90"/>
      <c r="I920" s="90"/>
    </row>
    <row r="921" spans="8:9" ht="15.75" customHeight="1" x14ac:dyDescent="0.35">
      <c r="H921" s="90"/>
      <c r="I921" s="90"/>
    </row>
    <row r="922" spans="8:9" ht="15.75" customHeight="1" x14ac:dyDescent="0.35">
      <c r="H922" s="90"/>
      <c r="I922" s="90"/>
    </row>
    <row r="923" spans="8:9" ht="15.75" customHeight="1" x14ac:dyDescent="0.35">
      <c r="H923" s="90"/>
      <c r="I923" s="90"/>
    </row>
    <row r="924" spans="8:9" ht="15.75" customHeight="1" x14ac:dyDescent="0.35">
      <c r="H924" s="90"/>
      <c r="I924" s="90"/>
    </row>
    <row r="925" spans="8:9" ht="15.75" customHeight="1" x14ac:dyDescent="0.35">
      <c r="H925" s="90"/>
      <c r="I925" s="90"/>
    </row>
    <row r="926" spans="8:9" ht="15.75" customHeight="1" x14ac:dyDescent="0.35">
      <c r="H926" s="90"/>
      <c r="I926" s="90"/>
    </row>
    <row r="927" spans="8:9" ht="15.75" customHeight="1" x14ac:dyDescent="0.35">
      <c r="H927" s="90"/>
      <c r="I927" s="90"/>
    </row>
    <row r="928" spans="8:9" ht="15.75" customHeight="1" x14ac:dyDescent="0.35">
      <c r="H928" s="90"/>
      <c r="I928" s="90"/>
    </row>
    <row r="929" spans="8:9" ht="15.75" customHeight="1" x14ac:dyDescent="0.35">
      <c r="H929" s="90"/>
      <c r="I929" s="90"/>
    </row>
    <row r="930" spans="8:9" ht="15.75" customHeight="1" x14ac:dyDescent="0.35">
      <c r="H930" s="90"/>
      <c r="I930" s="90"/>
    </row>
    <row r="931" spans="8:9" ht="15.75" customHeight="1" x14ac:dyDescent="0.35">
      <c r="H931" s="90"/>
      <c r="I931" s="90"/>
    </row>
    <row r="932" spans="8:9" ht="15.75" customHeight="1" x14ac:dyDescent="0.35">
      <c r="H932" s="90"/>
      <c r="I932" s="90"/>
    </row>
    <row r="933" spans="8:9" ht="15.75" customHeight="1" x14ac:dyDescent="0.35">
      <c r="H933" s="90"/>
      <c r="I933" s="90"/>
    </row>
    <row r="934" spans="8:9" ht="15.75" customHeight="1" x14ac:dyDescent="0.35">
      <c r="H934" s="90"/>
      <c r="I934" s="90"/>
    </row>
    <row r="935" spans="8:9" ht="15.75" customHeight="1" x14ac:dyDescent="0.35">
      <c r="H935" s="90"/>
      <c r="I935" s="90"/>
    </row>
    <row r="936" spans="8:9" ht="15.75" customHeight="1" x14ac:dyDescent="0.35">
      <c r="H936" s="90"/>
      <c r="I936" s="90"/>
    </row>
    <row r="937" spans="8:9" ht="15.75" customHeight="1" x14ac:dyDescent="0.35">
      <c r="H937" s="90"/>
      <c r="I937" s="90"/>
    </row>
    <row r="938" spans="8:9" ht="15.75" customHeight="1" x14ac:dyDescent="0.35">
      <c r="H938" s="90"/>
      <c r="I938" s="90"/>
    </row>
    <row r="939" spans="8:9" ht="15.75" customHeight="1" x14ac:dyDescent="0.35">
      <c r="H939" s="90"/>
      <c r="I939" s="90"/>
    </row>
    <row r="940" spans="8:9" ht="15.75" customHeight="1" x14ac:dyDescent="0.35">
      <c r="H940" s="90"/>
      <c r="I940" s="90"/>
    </row>
    <row r="941" spans="8:9" ht="15.75" customHeight="1" x14ac:dyDescent="0.35">
      <c r="H941" s="90"/>
      <c r="I941" s="90"/>
    </row>
    <row r="942" spans="8:9" ht="15.75" customHeight="1" x14ac:dyDescent="0.35">
      <c r="H942" s="90"/>
      <c r="I942" s="90"/>
    </row>
    <row r="943" spans="8:9" ht="15.75" customHeight="1" x14ac:dyDescent="0.35">
      <c r="H943" s="90"/>
      <c r="I943" s="90"/>
    </row>
    <row r="944" spans="8:9" ht="15.75" customHeight="1" x14ac:dyDescent="0.35">
      <c r="H944" s="90"/>
      <c r="I944" s="90"/>
    </row>
    <row r="945" spans="8:9" ht="15.75" customHeight="1" x14ac:dyDescent="0.35">
      <c r="H945" s="90"/>
      <c r="I945" s="90"/>
    </row>
    <row r="946" spans="8:9" ht="15.75" customHeight="1" x14ac:dyDescent="0.35">
      <c r="H946" s="90"/>
      <c r="I946" s="90"/>
    </row>
    <row r="947" spans="8:9" ht="15.75" customHeight="1" x14ac:dyDescent="0.35">
      <c r="H947" s="90"/>
      <c r="I947" s="90"/>
    </row>
    <row r="948" spans="8:9" ht="15.75" customHeight="1" x14ac:dyDescent="0.35">
      <c r="H948" s="90"/>
      <c r="I948" s="90"/>
    </row>
    <row r="949" spans="8:9" ht="15.75" customHeight="1" x14ac:dyDescent="0.35">
      <c r="H949" s="90"/>
      <c r="I949" s="90"/>
    </row>
    <row r="950" spans="8:9" ht="15.75" customHeight="1" x14ac:dyDescent="0.35">
      <c r="H950" s="90"/>
      <c r="I950" s="90"/>
    </row>
    <row r="951" spans="8:9" ht="15.75" customHeight="1" x14ac:dyDescent="0.35">
      <c r="H951" s="90"/>
      <c r="I951" s="90"/>
    </row>
    <row r="952" spans="8:9" ht="15.75" customHeight="1" x14ac:dyDescent="0.35">
      <c r="H952" s="90"/>
      <c r="I952" s="90"/>
    </row>
    <row r="953" spans="8:9" ht="15.75" customHeight="1" x14ac:dyDescent="0.35">
      <c r="H953" s="90"/>
      <c r="I953" s="90"/>
    </row>
    <row r="954" spans="8:9" ht="15.75" customHeight="1" x14ac:dyDescent="0.35">
      <c r="H954" s="90"/>
      <c r="I954" s="90"/>
    </row>
    <row r="955" spans="8:9" ht="15.75" customHeight="1" x14ac:dyDescent="0.35">
      <c r="H955" s="90"/>
      <c r="I955" s="90"/>
    </row>
    <row r="956" spans="8:9" ht="15.75" customHeight="1" x14ac:dyDescent="0.35">
      <c r="H956" s="90"/>
      <c r="I956" s="90"/>
    </row>
    <row r="957" spans="8:9" ht="15.75" customHeight="1" x14ac:dyDescent="0.35">
      <c r="H957" s="90"/>
      <c r="I957" s="90"/>
    </row>
    <row r="958" spans="8:9" ht="15.75" customHeight="1" x14ac:dyDescent="0.35">
      <c r="H958" s="90"/>
      <c r="I958" s="90"/>
    </row>
    <row r="959" spans="8:9" ht="15.75" customHeight="1" x14ac:dyDescent="0.35">
      <c r="H959" s="90"/>
      <c r="I959" s="90"/>
    </row>
    <row r="960" spans="8:9" ht="15.75" customHeight="1" x14ac:dyDescent="0.35">
      <c r="H960" s="90"/>
      <c r="I960" s="90"/>
    </row>
    <row r="961" spans="8:9" ht="15.75" customHeight="1" x14ac:dyDescent="0.35">
      <c r="H961" s="90"/>
      <c r="I961" s="90"/>
    </row>
    <row r="962" spans="8:9" ht="15.75" customHeight="1" x14ac:dyDescent="0.35">
      <c r="H962" s="90"/>
      <c r="I962" s="90"/>
    </row>
    <row r="963" spans="8:9" ht="15.75" customHeight="1" x14ac:dyDescent="0.35">
      <c r="H963" s="90"/>
      <c r="I963" s="90"/>
    </row>
    <row r="964" spans="8:9" ht="15.75" customHeight="1" x14ac:dyDescent="0.35">
      <c r="H964" s="90"/>
      <c r="I964" s="90"/>
    </row>
    <row r="965" spans="8:9" ht="15.75" customHeight="1" x14ac:dyDescent="0.35">
      <c r="H965" s="90"/>
      <c r="I965" s="90"/>
    </row>
    <row r="966" spans="8:9" ht="15.75" customHeight="1" x14ac:dyDescent="0.35">
      <c r="H966" s="90"/>
      <c r="I966" s="90"/>
    </row>
    <row r="967" spans="8:9" ht="15.75" customHeight="1" x14ac:dyDescent="0.35">
      <c r="H967" s="90"/>
      <c r="I967" s="90"/>
    </row>
    <row r="968" spans="8:9" ht="15.75" customHeight="1" x14ac:dyDescent="0.35">
      <c r="H968" s="90"/>
      <c r="I968" s="90"/>
    </row>
    <row r="969" spans="8:9" ht="15.75" customHeight="1" x14ac:dyDescent="0.35">
      <c r="H969" s="90"/>
      <c r="I969" s="90"/>
    </row>
    <row r="970" spans="8:9" ht="15.75" customHeight="1" x14ac:dyDescent="0.35">
      <c r="H970" s="90"/>
      <c r="I970" s="90"/>
    </row>
    <row r="971" spans="8:9" ht="15.75" customHeight="1" x14ac:dyDescent="0.35">
      <c r="H971" s="90"/>
      <c r="I971" s="90"/>
    </row>
    <row r="972" spans="8:9" ht="15.75" customHeight="1" x14ac:dyDescent="0.35">
      <c r="H972" s="90"/>
      <c r="I972" s="90"/>
    </row>
    <row r="973" spans="8:9" ht="15.75" customHeight="1" x14ac:dyDescent="0.35">
      <c r="H973" s="90"/>
      <c r="I973" s="90"/>
    </row>
    <row r="974" spans="8:9" ht="15.75" customHeight="1" x14ac:dyDescent="0.35">
      <c r="H974" s="90"/>
      <c r="I974" s="90"/>
    </row>
    <row r="975" spans="8:9" ht="15.75" customHeight="1" x14ac:dyDescent="0.35">
      <c r="H975" s="90"/>
      <c r="I975" s="90"/>
    </row>
    <row r="976" spans="8:9" ht="15.75" customHeight="1" x14ac:dyDescent="0.35">
      <c r="H976" s="90"/>
      <c r="I976" s="90"/>
    </row>
    <row r="977" spans="8:9" ht="15.75" customHeight="1" x14ac:dyDescent="0.35">
      <c r="H977" s="90"/>
      <c r="I977" s="90"/>
    </row>
    <row r="978" spans="8:9" ht="15.75" customHeight="1" x14ac:dyDescent="0.35">
      <c r="H978" s="90"/>
      <c r="I978" s="90"/>
    </row>
    <row r="979" spans="8:9" ht="15.75" customHeight="1" x14ac:dyDescent="0.35">
      <c r="H979" s="90"/>
      <c r="I979" s="90"/>
    </row>
    <row r="980" spans="8:9" ht="15.75" customHeight="1" x14ac:dyDescent="0.35">
      <c r="H980" s="90"/>
      <c r="I980" s="90"/>
    </row>
    <row r="981" spans="8:9" ht="15.75" customHeight="1" x14ac:dyDescent="0.35">
      <c r="H981" s="90"/>
      <c r="I981" s="90"/>
    </row>
    <row r="982" spans="8:9" ht="15.75" customHeight="1" x14ac:dyDescent="0.35">
      <c r="H982" s="90"/>
      <c r="I982" s="90"/>
    </row>
    <row r="983" spans="8:9" ht="15.75" customHeight="1" x14ac:dyDescent="0.35">
      <c r="H983" s="90"/>
      <c r="I983" s="90"/>
    </row>
    <row r="984" spans="8:9" ht="15.75" customHeight="1" x14ac:dyDescent="0.35">
      <c r="H984" s="90"/>
      <c r="I984" s="90"/>
    </row>
    <row r="985" spans="8:9" ht="15.75" customHeight="1" x14ac:dyDescent="0.35">
      <c r="H985" s="90"/>
      <c r="I985" s="90"/>
    </row>
    <row r="986" spans="8:9" ht="15.75" customHeight="1" x14ac:dyDescent="0.35">
      <c r="H986" s="90"/>
      <c r="I986" s="90"/>
    </row>
    <row r="987" spans="8:9" ht="15.75" customHeight="1" x14ac:dyDescent="0.35">
      <c r="H987" s="90"/>
      <c r="I987" s="90"/>
    </row>
    <row r="988" spans="8:9" ht="15.75" customHeight="1" x14ac:dyDescent="0.35">
      <c r="H988" s="90"/>
      <c r="I988" s="90"/>
    </row>
    <row r="989" spans="8:9" ht="15.75" customHeight="1" x14ac:dyDescent="0.35">
      <c r="H989" s="90"/>
      <c r="I989" s="90"/>
    </row>
    <row r="990" spans="8:9" ht="15.75" customHeight="1" x14ac:dyDescent="0.35">
      <c r="H990" s="90"/>
      <c r="I990" s="90"/>
    </row>
    <row r="991" spans="8:9" ht="15.75" customHeight="1" x14ac:dyDescent="0.35">
      <c r="H991" s="90"/>
      <c r="I991" s="90"/>
    </row>
    <row r="992" spans="8:9" ht="15.75" customHeight="1" x14ac:dyDescent="0.35">
      <c r="H992" s="90"/>
      <c r="I992" s="90"/>
    </row>
    <row r="993" spans="8:9" ht="15.75" customHeight="1" x14ac:dyDescent="0.35">
      <c r="H993" s="90"/>
      <c r="I993" s="90"/>
    </row>
    <row r="994" spans="8:9" ht="15.75" customHeight="1" x14ac:dyDescent="0.35">
      <c r="H994" s="90"/>
      <c r="I994" s="90"/>
    </row>
    <row r="995" spans="8:9" ht="15.75" customHeight="1" x14ac:dyDescent="0.35">
      <c r="H995" s="90"/>
      <c r="I995" s="90"/>
    </row>
    <row r="996" spans="8:9" ht="15.75" customHeight="1" x14ac:dyDescent="0.35">
      <c r="H996" s="90"/>
      <c r="I996" s="90"/>
    </row>
    <row r="997" spans="8:9" ht="15.75" customHeight="1" x14ac:dyDescent="0.35">
      <c r="H997" s="90"/>
      <c r="I997" s="90"/>
    </row>
    <row r="998" spans="8:9" ht="15.75" customHeight="1" x14ac:dyDescent="0.35">
      <c r="H998" s="90"/>
      <c r="I998" s="90"/>
    </row>
    <row r="999" spans="8:9" ht="15.75" customHeight="1" x14ac:dyDescent="0.35">
      <c r="H999" s="90"/>
      <c r="I999" s="90"/>
    </row>
    <row r="1000" spans="8:9" ht="15.75" customHeight="1" x14ac:dyDescent="0.35">
      <c r="H1000" s="90"/>
      <c r="I1000" s="90"/>
    </row>
    <row r="1001" spans="8:9" ht="15.75" customHeight="1" x14ac:dyDescent="0.35">
      <c r="H1001" s="90"/>
      <c r="I1001" s="90"/>
    </row>
    <row r="1002" spans="8:9" ht="15.75" customHeight="1" x14ac:dyDescent="0.35">
      <c r="H1002" s="90"/>
      <c r="I1002" s="90"/>
    </row>
    <row r="1003" spans="8:9" ht="15.75" customHeight="1" x14ac:dyDescent="0.35">
      <c r="H1003" s="90"/>
      <c r="I1003" s="90"/>
    </row>
  </sheetData>
  <mergeCells count="14">
    <mergeCell ref="O2:P2"/>
    <mergeCell ref="T2:T5"/>
    <mergeCell ref="O3:P3"/>
    <mergeCell ref="E3:I3"/>
    <mergeCell ref="G69:H69"/>
    <mergeCell ref="I69:I70"/>
    <mergeCell ref="G70:H70"/>
    <mergeCell ref="L2:L4"/>
    <mergeCell ref="M2:N3"/>
    <mergeCell ref="A1:I1"/>
    <mergeCell ref="A2:A4"/>
    <mergeCell ref="B2:B4"/>
    <mergeCell ref="C2:D3"/>
    <mergeCell ref="E2:I2"/>
  </mergeCells>
  <pageMargins left="0.25" right="0.25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03"/>
  <sheetViews>
    <sheetView workbookViewId="0">
      <pane xSplit="1" topLeftCell="B1" activePane="topRight" state="frozen"/>
      <selection pane="topRight" activeCell="C2" sqref="C2"/>
    </sheetView>
  </sheetViews>
  <sheetFormatPr defaultColWidth="14.453125" defaultRowHeight="15" customHeight="1" x14ac:dyDescent="0.35"/>
  <cols>
    <col min="1" max="1" width="41.26953125" customWidth="1"/>
    <col min="2" max="4" width="22.7265625" customWidth="1"/>
    <col min="5" max="6" width="15.7265625" customWidth="1"/>
    <col min="7" max="7" width="19.81640625" customWidth="1"/>
    <col min="8" max="9" width="17.7265625" customWidth="1"/>
    <col min="10" max="11" width="24.54296875" customWidth="1"/>
    <col min="12" max="15" width="22.7265625" customWidth="1"/>
    <col min="16" max="16" width="17.7265625" customWidth="1"/>
    <col min="17" max="18" width="24.54296875" customWidth="1"/>
    <col min="19" max="19" width="36.7265625" customWidth="1"/>
    <col min="20" max="30" width="8.7265625" customWidth="1"/>
  </cols>
  <sheetData>
    <row r="1" spans="1:19" ht="26" x14ac:dyDescent="0.6">
      <c r="A1" s="108">
        <v>46304</v>
      </c>
      <c r="B1" s="109"/>
      <c r="C1" s="109"/>
      <c r="D1" s="109"/>
      <c r="E1" s="109"/>
      <c r="F1" s="109"/>
      <c r="G1" s="109"/>
      <c r="H1" s="109"/>
      <c r="I1" s="109"/>
    </row>
    <row r="2" spans="1:19" ht="27" customHeight="1" x14ac:dyDescent="0.6">
      <c r="A2" s="110" t="s">
        <v>0</v>
      </c>
      <c r="B2" s="113" t="s">
        <v>1</v>
      </c>
      <c r="C2" s="116"/>
      <c r="D2" s="117"/>
      <c r="E2" s="119" t="s">
        <v>2</v>
      </c>
      <c r="F2" s="120"/>
      <c r="G2" s="120"/>
      <c r="H2" s="120"/>
      <c r="I2" s="121"/>
      <c r="J2" s="1"/>
      <c r="K2" s="1"/>
      <c r="L2" s="129" t="s">
        <v>1</v>
      </c>
      <c r="M2" s="130"/>
      <c r="N2" s="131"/>
      <c r="O2" s="122" t="s">
        <v>3</v>
      </c>
      <c r="P2" s="121"/>
      <c r="Q2" s="1"/>
      <c r="R2" s="1"/>
      <c r="S2" s="123" t="s">
        <v>4</v>
      </c>
    </row>
    <row r="3" spans="1:19" ht="27" customHeight="1" x14ac:dyDescent="0.6">
      <c r="A3" s="111"/>
      <c r="B3" s="114"/>
      <c r="C3" s="118"/>
      <c r="D3" s="109"/>
      <c r="E3" s="125" t="s">
        <v>5</v>
      </c>
      <c r="F3" s="120"/>
      <c r="G3" s="120"/>
      <c r="H3" s="120"/>
      <c r="I3" s="121"/>
      <c r="J3" s="1"/>
      <c r="K3" s="2"/>
      <c r="L3" s="114"/>
      <c r="M3" s="132"/>
      <c r="N3" s="133"/>
      <c r="O3" s="124" t="s">
        <v>6</v>
      </c>
      <c r="P3" s="121"/>
      <c r="Q3" s="1"/>
      <c r="R3" s="2"/>
      <c r="S3" s="114"/>
    </row>
    <row r="4" spans="1:19" ht="27" customHeight="1" x14ac:dyDescent="0.6">
      <c r="A4" s="112"/>
      <c r="B4" s="115"/>
      <c r="C4" s="4" t="s">
        <v>59</v>
      </c>
      <c r="D4" s="5" t="s">
        <v>8</v>
      </c>
      <c r="E4" s="6" t="s">
        <v>9</v>
      </c>
      <c r="F4" s="6" t="s">
        <v>10</v>
      </c>
      <c r="G4" s="6" t="s">
        <v>11</v>
      </c>
      <c r="H4" s="7" t="s">
        <v>12</v>
      </c>
      <c r="I4" s="8" t="s">
        <v>13</v>
      </c>
      <c r="J4" s="9" t="s">
        <v>14</v>
      </c>
      <c r="K4" s="10" t="s">
        <v>15</v>
      </c>
      <c r="L4" s="115"/>
      <c r="M4" s="11" t="s">
        <v>60</v>
      </c>
      <c r="N4" s="12" t="s">
        <v>17</v>
      </c>
      <c r="O4" s="13" t="s">
        <v>18</v>
      </c>
      <c r="P4" s="94" t="s">
        <v>13</v>
      </c>
      <c r="Q4" s="9" t="s">
        <v>14</v>
      </c>
      <c r="R4" s="10" t="s">
        <v>15</v>
      </c>
      <c r="S4" s="114"/>
    </row>
    <row r="5" spans="1:19" ht="21" x14ac:dyDescent="0.5">
      <c r="A5" s="15" t="s">
        <v>19</v>
      </c>
      <c r="B5" s="16"/>
      <c r="C5" s="17"/>
      <c r="D5" s="18"/>
      <c r="E5" s="19"/>
      <c r="F5" s="19"/>
      <c r="G5" s="19"/>
      <c r="H5" s="20"/>
      <c r="I5" s="20"/>
      <c r="J5" s="21"/>
      <c r="K5" s="21"/>
      <c r="L5" s="22"/>
      <c r="M5" s="23"/>
      <c r="N5" s="24"/>
      <c r="O5" s="25"/>
      <c r="P5" s="25"/>
      <c r="Q5" s="21"/>
      <c r="R5" s="21"/>
      <c r="S5" s="115"/>
    </row>
    <row r="6" spans="1:19" ht="21" x14ac:dyDescent="0.5">
      <c r="A6" s="26" t="s">
        <v>20</v>
      </c>
      <c r="B6" s="95">
        <v>283</v>
      </c>
      <c r="C6" s="28"/>
      <c r="D6" s="29"/>
      <c r="E6" s="42">
        <v>3</v>
      </c>
      <c r="F6" s="42">
        <v>50</v>
      </c>
      <c r="G6" s="42">
        <v>1</v>
      </c>
      <c r="H6" s="31">
        <f t="shared" ref="H6:H13" si="0">SUM(E6:G6)</f>
        <v>54</v>
      </c>
      <c r="I6" s="32">
        <f t="shared" ref="I6:I13" si="1">B6-H6+C6+D6</f>
        <v>229</v>
      </c>
      <c r="J6" s="33">
        <f>168+24+24+12</f>
        <v>228</v>
      </c>
      <c r="K6" s="33">
        <f t="shared" ref="K6:K13" si="2">J6-I6</f>
        <v>-1</v>
      </c>
      <c r="L6" s="31">
        <v>0</v>
      </c>
      <c r="M6" s="34"/>
      <c r="N6" s="35"/>
      <c r="O6" s="36"/>
      <c r="P6" s="37">
        <f t="shared" ref="P6:P13" si="3">L6-O6+M6+N6</f>
        <v>0</v>
      </c>
      <c r="Q6" s="33"/>
      <c r="R6" s="33">
        <f t="shared" ref="R6:R13" si="4">Q6-P6</f>
        <v>0</v>
      </c>
      <c r="S6" s="38">
        <f t="shared" ref="S6:S13" si="5">I6+P6</f>
        <v>229</v>
      </c>
    </row>
    <row r="7" spans="1:19" ht="21" x14ac:dyDescent="0.5">
      <c r="A7" s="26" t="s">
        <v>21</v>
      </c>
      <c r="B7" s="95">
        <v>180</v>
      </c>
      <c r="C7" s="28"/>
      <c r="D7" s="29"/>
      <c r="E7" s="42">
        <v>5</v>
      </c>
      <c r="F7" s="42">
        <v>50</v>
      </c>
      <c r="G7" s="42">
        <v>1</v>
      </c>
      <c r="H7" s="31">
        <f t="shared" si="0"/>
        <v>56</v>
      </c>
      <c r="I7" s="32">
        <f t="shared" si="1"/>
        <v>124</v>
      </c>
      <c r="J7" s="33">
        <f>96+16</f>
        <v>112</v>
      </c>
      <c r="K7" s="33">
        <f t="shared" si="2"/>
        <v>-12</v>
      </c>
      <c r="L7" s="31">
        <v>0</v>
      </c>
      <c r="M7" s="34"/>
      <c r="N7" s="40"/>
      <c r="O7" s="36"/>
      <c r="P7" s="37">
        <f t="shared" si="3"/>
        <v>0</v>
      </c>
      <c r="Q7" s="33"/>
      <c r="R7" s="33">
        <f t="shared" si="4"/>
        <v>0</v>
      </c>
      <c r="S7" s="38">
        <f t="shared" si="5"/>
        <v>124</v>
      </c>
    </row>
    <row r="8" spans="1:19" ht="21" x14ac:dyDescent="0.5">
      <c r="A8" s="26" t="s">
        <v>22</v>
      </c>
      <c r="B8" s="95">
        <v>256</v>
      </c>
      <c r="C8" s="28"/>
      <c r="D8" s="29"/>
      <c r="E8" s="30"/>
      <c r="F8" s="30"/>
      <c r="G8" s="42">
        <v>1</v>
      </c>
      <c r="H8" s="31">
        <f t="shared" si="0"/>
        <v>1</v>
      </c>
      <c r="I8" s="32">
        <f t="shared" si="1"/>
        <v>255</v>
      </c>
      <c r="J8" s="33">
        <f>240+15</f>
        <v>255</v>
      </c>
      <c r="K8" s="33">
        <f t="shared" si="2"/>
        <v>0</v>
      </c>
      <c r="L8" s="31">
        <v>0</v>
      </c>
      <c r="M8" s="34"/>
      <c r="N8" s="35"/>
      <c r="O8" s="36"/>
      <c r="P8" s="37">
        <f t="shared" si="3"/>
        <v>0</v>
      </c>
      <c r="Q8" s="33"/>
      <c r="R8" s="33">
        <f t="shared" si="4"/>
        <v>0</v>
      </c>
      <c r="S8" s="38">
        <f t="shared" si="5"/>
        <v>255</v>
      </c>
    </row>
    <row r="9" spans="1:19" ht="21" x14ac:dyDescent="0.5">
      <c r="A9" s="26" t="s">
        <v>23</v>
      </c>
      <c r="B9" s="95">
        <v>624</v>
      </c>
      <c r="C9" s="28"/>
      <c r="D9" s="29"/>
      <c r="E9" s="30"/>
      <c r="F9" s="42">
        <v>50</v>
      </c>
      <c r="G9" s="42">
        <v>1</v>
      </c>
      <c r="H9" s="31">
        <f t="shared" si="0"/>
        <v>51</v>
      </c>
      <c r="I9" s="32">
        <f t="shared" si="1"/>
        <v>573</v>
      </c>
      <c r="J9" s="41">
        <v>552</v>
      </c>
      <c r="K9" s="33">
        <f t="shared" si="2"/>
        <v>-21</v>
      </c>
      <c r="L9" s="31">
        <v>0</v>
      </c>
      <c r="M9" s="34"/>
      <c r="N9" s="40"/>
      <c r="O9" s="36"/>
      <c r="P9" s="37">
        <f t="shared" si="3"/>
        <v>0</v>
      </c>
      <c r="Q9" s="41"/>
      <c r="R9" s="33">
        <f t="shared" si="4"/>
        <v>0</v>
      </c>
      <c r="S9" s="38">
        <f t="shared" si="5"/>
        <v>573</v>
      </c>
    </row>
    <row r="10" spans="1:19" ht="21" x14ac:dyDescent="0.5">
      <c r="A10" s="26" t="s">
        <v>24</v>
      </c>
      <c r="B10" s="95">
        <v>420</v>
      </c>
      <c r="C10" s="28"/>
      <c r="D10" s="29"/>
      <c r="E10" s="42">
        <v>6</v>
      </c>
      <c r="F10" s="30"/>
      <c r="G10" s="42">
        <v>2</v>
      </c>
      <c r="H10" s="31">
        <f t="shared" si="0"/>
        <v>8</v>
      </c>
      <c r="I10" s="32">
        <f t="shared" si="1"/>
        <v>412</v>
      </c>
      <c r="J10" s="33">
        <f>480+16</f>
        <v>496</v>
      </c>
      <c r="K10" s="33">
        <f t="shared" si="2"/>
        <v>84</v>
      </c>
      <c r="L10" s="31">
        <v>0</v>
      </c>
      <c r="M10" s="34"/>
      <c r="N10" s="40"/>
      <c r="O10" s="36"/>
      <c r="P10" s="37">
        <f t="shared" si="3"/>
        <v>0</v>
      </c>
      <c r="Q10" s="33"/>
      <c r="R10" s="33">
        <f t="shared" si="4"/>
        <v>0</v>
      </c>
      <c r="S10" s="38">
        <f t="shared" si="5"/>
        <v>412</v>
      </c>
    </row>
    <row r="11" spans="1:19" ht="21" x14ac:dyDescent="0.5">
      <c r="A11" s="26" t="s">
        <v>25</v>
      </c>
      <c r="B11" s="95">
        <v>287</v>
      </c>
      <c r="C11" s="28"/>
      <c r="D11" s="29"/>
      <c r="E11" s="42">
        <v>4</v>
      </c>
      <c r="F11" s="42">
        <v>6</v>
      </c>
      <c r="G11" s="42">
        <v>2</v>
      </c>
      <c r="H11" s="31">
        <f t="shared" si="0"/>
        <v>12</v>
      </c>
      <c r="I11" s="32">
        <f t="shared" si="1"/>
        <v>275</v>
      </c>
      <c r="J11" s="33">
        <f>456+9</f>
        <v>465</v>
      </c>
      <c r="K11" s="33">
        <f t="shared" si="2"/>
        <v>190</v>
      </c>
      <c r="L11" s="31">
        <v>0</v>
      </c>
      <c r="M11" s="34"/>
      <c r="N11" s="40"/>
      <c r="O11" s="36"/>
      <c r="P11" s="37">
        <f t="shared" si="3"/>
        <v>0</v>
      </c>
      <c r="Q11" s="33"/>
      <c r="R11" s="33">
        <f t="shared" si="4"/>
        <v>0</v>
      </c>
      <c r="S11" s="38">
        <f t="shared" si="5"/>
        <v>275</v>
      </c>
    </row>
    <row r="12" spans="1:19" ht="21" x14ac:dyDescent="0.5">
      <c r="A12" s="26" t="s">
        <v>26</v>
      </c>
      <c r="B12" s="95">
        <v>20</v>
      </c>
      <c r="C12" s="28"/>
      <c r="D12" s="29"/>
      <c r="E12" s="42"/>
      <c r="F12" s="30"/>
      <c r="G12" s="30"/>
      <c r="H12" s="31">
        <f t="shared" si="0"/>
        <v>0</v>
      </c>
      <c r="I12" s="32">
        <f t="shared" si="1"/>
        <v>20</v>
      </c>
      <c r="J12" s="33">
        <f>24+22</f>
        <v>46</v>
      </c>
      <c r="K12" s="33">
        <f t="shared" si="2"/>
        <v>26</v>
      </c>
      <c r="L12" s="31">
        <v>0</v>
      </c>
      <c r="M12" s="34"/>
      <c r="N12" s="40"/>
      <c r="O12" s="36"/>
      <c r="P12" s="37">
        <f t="shared" si="3"/>
        <v>0</v>
      </c>
      <c r="Q12" s="33"/>
      <c r="R12" s="33">
        <f t="shared" si="4"/>
        <v>0</v>
      </c>
      <c r="S12" s="38">
        <f t="shared" si="5"/>
        <v>20</v>
      </c>
    </row>
    <row r="13" spans="1:19" ht="21" x14ac:dyDescent="0.5">
      <c r="A13" s="26" t="s">
        <v>27</v>
      </c>
      <c r="B13" s="95">
        <v>432</v>
      </c>
      <c r="C13" s="28"/>
      <c r="D13" s="29"/>
      <c r="E13" s="42">
        <v>6</v>
      </c>
      <c r="F13" s="30"/>
      <c r="G13" s="42">
        <v>2</v>
      </c>
      <c r="H13" s="31">
        <f t="shared" si="0"/>
        <v>8</v>
      </c>
      <c r="I13" s="32">
        <f t="shared" si="1"/>
        <v>424</v>
      </c>
      <c r="J13" s="33">
        <f>408+17</f>
        <v>425</v>
      </c>
      <c r="K13" s="33">
        <f t="shared" si="2"/>
        <v>1</v>
      </c>
      <c r="L13" s="31">
        <v>18</v>
      </c>
      <c r="M13" s="34"/>
      <c r="N13" s="40"/>
      <c r="O13" s="36"/>
      <c r="P13" s="37">
        <f t="shared" si="3"/>
        <v>18</v>
      </c>
      <c r="Q13" s="41">
        <v>18</v>
      </c>
      <c r="R13" s="33">
        <f t="shared" si="4"/>
        <v>0</v>
      </c>
      <c r="S13" s="38">
        <f t="shared" si="5"/>
        <v>442</v>
      </c>
    </row>
    <row r="14" spans="1:19" ht="21" x14ac:dyDescent="0.5">
      <c r="A14" s="15" t="s">
        <v>28</v>
      </c>
      <c r="B14" s="96"/>
      <c r="C14" s="45"/>
      <c r="D14" s="46"/>
      <c r="E14" s="47"/>
      <c r="F14" s="47"/>
      <c r="G14" s="47"/>
      <c r="H14" s="48"/>
      <c r="I14" s="48"/>
      <c r="J14" s="49"/>
      <c r="K14" s="50"/>
      <c r="L14" s="48"/>
      <c r="M14" s="51"/>
      <c r="N14" s="52"/>
      <c r="O14" s="47"/>
      <c r="P14" s="47"/>
      <c r="Q14" s="49"/>
      <c r="R14" s="50"/>
      <c r="S14" s="47"/>
    </row>
    <row r="15" spans="1:19" ht="21" x14ac:dyDescent="0.5">
      <c r="A15" s="26" t="s">
        <v>29</v>
      </c>
      <c r="B15" s="95">
        <v>143</v>
      </c>
      <c r="C15" s="28"/>
      <c r="D15" s="29"/>
      <c r="E15" s="30"/>
      <c r="F15" s="30"/>
      <c r="G15" s="30"/>
      <c r="H15" s="31">
        <f t="shared" ref="H15:H27" si="6">SUM(E15:G15)</f>
        <v>0</v>
      </c>
      <c r="I15" s="32">
        <f t="shared" ref="I15:I27" si="7">B15-H15+C15+D15</f>
        <v>143</v>
      </c>
      <c r="J15" s="33">
        <f>120+2+12+9</f>
        <v>143</v>
      </c>
      <c r="K15" s="33">
        <f t="shared" ref="K15:K27" si="8">J15-I15</f>
        <v>0</v>
      </c>
      <c r="L15" s="31">
        <v>10</v>
      </c>
      <c r="M15" s="34"/>
      <c r="N15" s="40"/>
      <c r="O15" s="36"/>
      <c r="P15" s="37">
        <f t="shared" ref="P15:P27" si="9">L15-O15+M15+N15</f>
        <v>10</v>
      </c>
      <c r="Q15" s="41">
        <v>8</v>
      </c>
      <c r="R15" s="33">
        <f t="shared" ref="R15:R27" si="10">Q15-P15</f>
        <v>-2</v>
      </c>
      <c r="S15" s="38">
        <f t="shared" ref="S15:S27" si="11">I15+P15</f>
        <v>153</v>
      </c>
    </row>
    <row r="16" spans="1:19" ht="21" x14ac:dyDescent="0.5">
      <c r="A16" s="26" t="s">
        <v>30</v>
      </c>
      <c r="B16" s="95">
        <v>290</v>
      </c>
      <c r="C16" s="28"/>
      <c r="D16" s="29"/>
      <c r="E16" s="42">
        <v>23</v>
      </c>
      <c r="F16" s="30"/>
      <c r="G16" s="42">
        <v>1</v>
      </c>
      <c r="H16" s="31">
        <f t="shared" si="6"/>
        <v>24</v>
      </c>
      <c r="I16" s="32">
        <f t="shared" si="7"/>
        <v>266</v>
      </c>
      <c r="J16" s="33">
        <f>8+192+72+11</f>
        <v>283</v>
      </c>
      <c r="K16" s="33">
        <f t="shared" si="8"/>
        <v>17</v>
      </c>
      <c r="L16" s="31">
        <v>309</v>
      </c>
      <c r="M16" s="34"/>
      <c r="N16" s="35">
        <v>3</v>
      </c>
      <c r="O16" s="53">
        <v>89</v>
      </c>
      <c r="P16" s="37">
        <f t="shared" si="9"/>
        <v>223</v>
      </c>
      <c r="Q16" s="33">
        <f>4+176</f>
        <v>180</v>
      </c>
      <c r="R16" s="33">
        <f t="shared" si="10"/>
        <v>-43</v>
      </c>
      <c r="S16" s="38">
        <f t="shared" si="11"/>
        <v>489</v>
      </c>
    </row>
    <row r="17" spans="1:19" ht="21" x14ac:dyDescent="0.5">
      <c r="A17" s="26" t="s">
        <v>31</v>
      </c>
      <c r="B17" s="95">
        <v>129</v>
      </c>
      <c r="C17" s="28"/>
      <c r="D17" s="29"/>
      <c r="E17" s="30"/>
      <c r="F17" s="42">
        <v>12</v>
      </c>
      <c r="G17" s="30"/>
      <c r="H17" s="31">
        <f t="shared" si="6"/>
        <v>12</v>
      </c>
      <c r="I17" s="32">
        <f t="shared" si="7"/>
        <v>117</v>
      </c>
      <c r="J17" s="33">
        <f>108+9</f>
        <v>117</v>
      </c>
      <c r="K17" s="33">
        <f t="shared" si="8"/>
        <v>0</v>
      </c>
      <c r="L17" s="31">
        <v>11</v>
      </c>
      <c r="M17" s="34"/>
      <c r="N17" s="40"/>
      <c r="O17" s="36"/>
      <c r="P17" s="37">
        <f t="shared" si="9"/>
        <v>11</v>
      </c>
      <c r="Q17" s="33">
        <f>11</f>
        <v>11</v>
      </c>
      <c r="R17" s="33">
        <f t="shared" si="10"/>
        <v>0</v>
      </c>
      <c r="S17" s="38">
        <f t="shared" si="11"/>
        <v>128</v>
      </c>
    </row>
    <row r="18" spans="1:19" ht="21" x14ac:dyDescent="0.5">
      <c r="A18" s="26" t="s">
        <v>32</v>
      </c>
      <c r="B18" s="95">
        <v>24</v>
      </c>
      <c r="C18" s="28"/>
      <c r="D18" s="29"/>
      <c r="E18" s="30"/>
      <c r="F18" s="30"/>
      <c r="G18" s="30"/>
      <c r="H18" s="31">
        <f t="shared" si="6"/>
        <v>0</v>
      </c>
      <c r="I18" s="32">
        <f t="shared" si="7"/>
        <v>24</v>
      </c>
      <c r="J18" s="33">
        <f>24+36</f>
        <v>60</v>
      </c>
      <c r="K18" s="33">
        <f t="shared" si="8"/>
        <v>36</v>
      </c>
      <c r="L18" s="31">
        <v>101</v>
      </c>
      <c r="M18" s="34"/>
      <c r="N18" s="40"/>
      <c r="O18" s="36"/>
      <c r="P18" s="37">
        <f t="shared" si="9"/>
        <v>101</v>
      </c>
      <c r="Q18" s="33">
        <f>1</f>
        <v>1</v>
      </c>
      <c r="R18" s="33">
        <f t="shared" si="10"/>
        <v>-100</v>
      </c>
      <c r="S18" s="38">
        <f t="shared" si="11"/>
        <v>125</v>
      </c>
    </row>
    <row r="19" spans="1:19" ht="21" x14ac:dyDescent="0.5">
      <c r="A19" s="26" t="s">
        <v>33</v>
      </c>
      <c r="B19" s="95">
        <v>144</v>
      </c>
      <c r="C19" s="28"/>
      <c r="D19" s="29"/>
      <c r="E19" s="42">
        <v>3</v>
      </c>
      <c r="F19" s="30"/>
      <c r="G19" s="42">
        <v>1</v>
      </c>
      <c r="H19" s="31">
        <f t="shared" si="6"/>
        <v>4</v>
      </c>
      <c r="I19" s="32">
        <f t="shared" si="7"/>
        <v>140</v>
      </c>
      <c r="J19" s="33">
        <f>132+8</f>
        <v>140</v>
      </c>
      <c r="K19" s="33">
        <f t="shared" si="8"/>
        <v>0</v>
      </c>
      <c r="L19" s="31">
        <v>112</v>
      </c>
      <c r="M19" s="34"/>
      <c r="N19" s="40"/>
      <c r="O19" s="53">
        <v>25</v>
      </c>
      <c r="P19" s="37">
        <f t="shared" si="9"/>
        <v>87</v>
      </c>
      <c r="Q19" s="33">
        <f>84</f>
        <v>84</v>
      </c>
      <c r="R19" s="33">
        <f t="shared" si="10"/>
        <v>-3</v>
      </c>
      <c r="S19" s="38">
        <f t="shared" si="11"/>
        <v>227</v>
      </c>
    </row>
    <row r="20" spans="1:19" ht="21" x14ac:dyDescent="0.5">
      <c r="A20" s="26" t="s">
        <v>34</v>
      </c>
      <c r="B20" s="95">
        <v>180</v>
      </c>
      <c r="C20" s="28"/>
      <c r="D20" s="29"/>
      <c r="E20" s="42">
        <v>12</v>
      </c>
      <c r="F20" s="30"/>
      <c r="G20" s="42">
        <v>1</v>
      </c>
      <c r="H20" s="31">
        <f t="shared" si="6"/>
        <v>13</v>
      </c>
      <c r="I20" s="32">
        <f t="shared" si="7"/>
        <v>167</v>
      </c>
      <c r="J20" s="33">
        <f>12+156+10</f>
        <v>178</v>
      </c>
      <c r="K20" s="33">
        <f t="shared" si="8"/>
        <v>11</v>
      </c>
      <c r="L20" s="31">
        <v>163</v>
      </c>
      <c r="M20" s="64">
        <v>120</v>
      </c>
      <c r="N20" s="35">
        <v>3</v>
      </c>
      <c r="O20" s="53">
        <v>67</v>
      </c>
      <c r="P20" s="37">
        <f t="shared" si="9"/>
        <v>219</v>
      </c>
      <c r="Q20" s="33">
        <f>1+88+80+35</f>
        <v>204</v>
      </c>
      <c r="R20" s="33">
        <f t="shared" si="10"/>
        <v>-15</v>
      </c>
      <c r="S20" s="38">
        <f t="shared" si="11"/>
        <v>386</v>
      </c>
    </row>
    <row r="21" spans="1:19" ht="15.75" customHeight="1" x14ac:dyDescent="0.5">
      <c r="A21" s="26" t="s">
        <v>35</v>
      </c>
      <c r="B21" s="95">
        <v>473</v>
      </c>
      <c r="C21" s="54">
        <f>156+156</f>
        <v>312</v>
      </c>
      <c r="D21" s="39">
        <v>12</v>
      </c>
      <c r="E21" s="42">
        <v>74</v>
      </c>
      <c r="F21" s="42"/>
      <c r="G21" s="42">
        <v>1</v>
      </c>
      <c r="H21" s="31">
        <f t="shared" si="6"/>
        <v>75</v>
      </c>
      <c r="I21" s="32">
        <f t="shared" si="7"/>
        <v>722</v>
      </c>
      <c r="J21" s="33">
        <f>396+8+140+4+192</f>
        <v>740</v>
      </c>
      <c r="K21" s="33">
        <f t="shared" si="8"/>
        <v>18</v>
      </c>
      <c r="L21" s="31">
        <v>247</v>
      </c>
      <c r="M21" s="64">
        <v>156</v>
      </c>
      <c r="N21" s="35">
        <v>3</v>
      </c>
      <c r="O21" s="53">
        <v>64</v>
      </c>
      <c r="P21" s="37">
        <f t="shared" si="9"/>
        <v>342</v>
      </c>
      <c r="Q21" s="33">
        <f>174</f>
        <v>174</v>
      </c>
      <c r="R21" s="33">
        <f t="shared" si="10"/>
        <v>-168</v>
      </c>
      <c r="S21" s="38">
        <f t="shared" si="11"/>
        <v>1064</v>
      </c>
    </row>
    <row r="22" spans="1:19" ht="15.75" customHeight="1" x14ac:dyDescent="0.5">
      <c r="A22" s="26" t="s">
        <v>36</v>
      </c>
      <c r="B22" s="95">
        <v>0</v>
      </c>
      <c r="C22" s="28"/>
      <c r="D22" s="29"/>
      <c r="E22" s="30"/>
      <c r="F22" s="30"/>
      <c r="G22" s="30"/>
      <c r="H22" s="31">
        <f t="shared" si="6"/>
        <v>0</v>
      </c>
      <c r="I22" s="32">
        <f t="shared" si="7"/>
        <v>0</v>
      </c>
      <c r="J22" s="33"/>
      <c r="K22" s="33">
        <f t="shared" si="8"/>
        <v>0</v>
      </c>
      <c r="L22" s="31">
        <v>76</v>
      </c>
      <c r="M22" s="64">
        <v>234</v>
      </c>
      <c r="N22" s="35"/>
      <c r="O22" s="53">
        <v>23</v>
      </c>
      <c r="P22" s="37">
        <f t="shared" si="9"/>
        <v>287</v>
      </c>
      <c r="Q22" s="33">
        <f>284</f>
        <v>284</v>
      </c>
      <c r="R22" s="33">
        <f t="shared" si="10"/>
        <v>-3</v>
      </c>
      <c r="S22" s="38">
        <f t="shared" si="11"/>
        <v>287</v>
      </c>
    </row>
    <row r="23" spans="1:19" ht="15.75" customHeight="1" x14ac:dyDescent="0.5">
      <c r="A23" s="26" t="s">
        <v>24</v>
      </c>
      <c r="B23" s="95">
        <v>321</v>
      </c>
      <c r="C23" s="54"/>
      <c r="D23" s="29"/>
      <c r="E23" s="42">
        <v>45</v>
      </c>
      <c r="F23" s="42">
        <v>10</v>
      </c>
      <c r="G23" s="30"/>
      <c r="H23" s="31">
        <f t="shared" si="6"/>
        <v>55</v>
      </c>
      <c r="I23" s="32">
        <f t="shared" si="7"/>
        <v>266</v>
      </c>
      <c r="J23" s="33">
        <f>120+30+15+36+120+2</f>
        <v>323</v>
      </c>
      <c r="K23" s="33">
        <f t="shared" si="8"/>
        <v>57</v>
      </c>
      <c r="L23" s="31">
        <v>52</v>
      </c>
      <c r="M23" s="64">
        <v>156</v>
      </c>
      <c r="N23" s="35"/>
      <c r="O23" s="53">
        <v>36</v>
      </c>
      <c r="P23" s="37">
        <f t="shared" si="9"/>
        <v>172</v>
      </c>
      <c r="Q23" s="33">
        <f>56+22+24</f>
        <v>102</v>
      </c>
      <c r="R23" s="33">
        <f t="shared" si="10"/>
        <v>-70</v>
      </c>
      <c r="S23" s="38">
        <f t="shared" si="11"/>
        <v>438</v>
      </c>
    </row>
    <row r="24" spans="1:19" ht="15.75" customHeight="1" x14ac:dyDescent="0.5">
      <c r="A24" s="26" t="s">
        <v>37</v>
      </c>
      <c r="B24" s="95">
        <v>131</v>
      </c>
      <c r="C24" s="28"/>
      <c r="D24" s="29"/>
      <c r="E24" s="42">
        <v>4</v>
      </c>
      <c r="F24" s="30"/>
      <c r="G24" s="42">
        <v>1</v>
      </c>
      <c r="H24" s="31">
        <f t="shared" si="6"/>
        <v>5</v>
      </c>
      <c r="I24" s="32">
        <f t="shared" si="7"/>
        <v>126</v>
      </c>
      <c r="J24" s="33">
        <f>168+5</f>
        <v>173</v>
      </c>
      <c r="K24" s="33">
        <f t="shared" si="8"/>
        <v>47</v>
      </c>
      <c r="L24" s="31">
        <v>109</v>
      </c>
      <c r="M24" s="34"/>
      <c r="N24" s="40"/>
      <c r="O24" s="53">
        <v>10</v>
      </c>
      <c r="P24" s="37">
        <f t="shared" si="9"/>
        <v>99</v>
      </c>
      <c r="Q24" s="33">
        <f>98</f>
        <v>98</v>
      </c>
      <c r="R24" s="33">
        <f t="shared" si="10"/>
        <v>-1</v>
      </c>
      <c r="S24" s="38">
        <f t="shared" si="11"/>
        <v>225</v>
      </c>
    </row>
    <row r="25" spans="1:19" ht="15.75" customHeight="1" x14ac:dyDescent="0.5">
      <c r="A25" s="26" t="s">
        <v>38</v>
      </c>
      <c r="B25" s="95">
        <v>48</v>
      </c>
      <c r="C25" s="28"/>
      <c r="D25" s="29"/>
      <c r="E25" s="30"/>
      <c r="F25" s="30"/>
      <c r="G25" s="30"/>
      <c r="H25" s="31">
        <f t="shared" si="6"/>
        <v>0</v>
      </c>
      <c r="I25" s="32">
        <f t="shared" si="7"/>
        <v>48</v>
      </c>
      <c r="J25" s="41">
        <v>48</v>
      </c>
      <c r="K25" s="33">
        <f t="shared" si="8"/>
        <v>0</v>
      </c>
      <c r="L25" s="31">
        <v>267</v>
      </c>
      <c r="M25" s="34"/>
      <c r="N25" s="40"/>
      <c r="O25" s="53">
        <v>2</v>
      </c>
      <c r="P25" s="37">
        <f t="shared" si="9"/>
        <v>265</v>
      </c>
      <c r="Q25" s="41">
        <f>165</f>
        <v>165</v>
      </c>
      <c r="R25" s="33">
        <f t="shared" si="10"/>
        <v>-100</v>
      </c>
      <c r="S25" s="38">
        <f t="shared" si="11"/>
        <v>313</v>
      </c>
    </row>
    <row r="26" spans="1:19" ht="15.75" customHeight="1" x14ac:dyDescent="0.5">
      <c r="A26" s="26" t="s">
        <v>39</v>
      </c>
      <c r="B26" s="95">
        <v>96</v>
      </c>
      <c r="C26" s="28"/>
      <c r="D26" s="29"/>
      <c r="E26" s="42">
        <v>6</v>
      </c>
      <c r="F26" s="30"/>
      <c r="G26" s="42">
        <v>1</v>
      </c>
      <c r="H26" s="31">
        <f t="shared" si="6"/>
        <v>7</v>
      </c>
      <c r="I26" s="32">
        <f t="shared" si="7"/>
        <v>89</v>
      </c>
      <c r="J26" s="41">
        <v>120</v>
      </c>
      <c r="K26" s="33">
        <f t="shared" si="8"/>
        <v>31</v>
      </c>
      <c r="L26" s="31">
        <v>157</v>
      </c>
      <c r="M26" s="34"/>
      <c r="N26" s="40"/>
      <c r="O26" s="53">
        <v>1</v>
      </c>
      <c r="P26" s="37">
        <f t="shared" si="9"/>
        <v>156</v>
      </c>
      <c r="Q26" s="41">
        <f>46</f>
        <v>46</v>
      </c>
      <c r="R26" s="33">
        <f t="shared" si="10"/>
        <v>-110</v>
      </c>
      <c r="S26" s="38">
        <f t="shared" si="11"/>
        <v>245</v>
      </c>
    </row>
    <row r="27" spans="1:19" ht="15.75" customHeight="1" x14ac:dyDescent="0.5">
      <c r="A27" s="26" t="s">
        <v>40</v>
      </c>
      <c r="B27" s="95">
        <v>115</v>
      </c>
      <c r="C27" s="28"/>
      <c r="D27" s="29"/>
      <c r="E27" s="42">
        <v>59</v>
      </c>
      <c r="F27" s="30"/>
      <c r="G27" s="30"/>
      <c r="H27" s="31">
        <f t="shared" si="6"/>
        <v>59</v>
      </c>
      <c r="I27" s="32">
        <f t="shared" si="7"/>
        <v>56</v>
      </c>
      <c r="J27" s="33">
        <f>9+8</f>
        <v>17</v>
      </c>
      <c r="K27" s="33">
        <f t="shared" si="8"/>
        <v>-39</v>
      </c>
      <c r="L27" s="31">
        <v>0</v>
      </c>
      <c r="M27" s="34"/>
      <c r="N27" s="35"/>
      <c r="O27" s="53">
        <v>21</v>
      </c>
      <c r="P27" s="37">
        <f t="shared" si="9"/>
        <v>-21</v>
      </c>
      <c r="Q27" s="41">
        <v>17</v>
      </c>
      <c r="R27" s="33">
        <f t="shared" si="10"/>
        <v>38</v>
      </c>
      <c r="S27" s="38">
        <f t="shared" si="11"/>
        <v>35</v>
      </c>
    </row>
    <row r="28" spans="1:19" ht="15.75" customHeight="1" x14ac:dyDescent="0.5">
      <c r="A28" s="15" t="s">
        <v>41</v>
      </c>
      <c r="B28" s="62"/>
      <c r="C28" s="57"/>
      <c r="D28" s="58"/>
      <c r="E28" s="59"/>
      <c r="F28" s="59"/>
      <c r="G28" s="59"/>
      <c r="H28" s="21"/>
      <c r="I28" s="21"/>
      <c r="J28" s="49"/>
      <c r="K28" s="49"/>
      <c r="L28" s="21"/>
      <c r="M28" s="60"/>
      <c r="N28" s="61"/>
      <c r="O28" s="59"/>
      <c r="P28" s="47"/>
      <c r="Q28" s="49"/>
      <c r="R28" s="49"/>
      <c r="S28" s="47"/>
    </row>
    <row r="29" spans="1:19" ht="15.75" customHeight="1" x14ac:dyDescent="0.5">
      <c r="A29" s="26" t="s">
        <v>20</v>
      </c>
      <c r="B29" s="95">
        <v>120</v>
      </c>
      <c r="C29" s="28"/>
      <c r="D29" s="29"/>
      <c r="E29" s="30"/>
      <c r="F29" s="30"/>
      <c r="G29" s="30"/>
      <c r="H29" s="31">
        <f t="shared" ref="H29:H35" si="12">SUM(E29:G29)</f>
        <v>0</v>
      </c>
      <c r="I29" s="32">
        <f t="shared" ref="I29:I35" si="13">B29-H29+C29+D29</f>
        <v>120</v>
      </c>
      <c r="J29" s="33">
        <f>120+10</f>
        <v>130</v>
      </c>
      <c r="K29" s="33">
        <f t="shared" ref="K29:K35" si="14">J29-I29</f>
        <v>10</v>
      </c>
      <c r="L29" s="31">
        <v>0</v>
      </c>
      <c r="M29" s="34"/>
      <c r="N29" s="40"/>
      <c r="O29" s="36"/>
      <c r="P29" s="37">
        <f t="shared" ref="P29:P35" si="15">L29-O29+M29+N29</f>
        <v>0</v>
      </c>
      <c r="Q29" s="41">
        <v>0</v>
      </c>
      <c r="R29" s="33">
        <f t="shared" ref="R29:R35" si="16">Q29-P29</f>
        <v>0</v>
      </c>
      <c r="S29" s="38">
        <f t="shared" ref="S29:S35" si="17">I29+P29</f>
        <v>120</v>
      </c>
    </row>
    <row r="30" spans="1:19" ht="15.75" customHeight="1" x14ac:dyDescent="0.5">
      <c r="A30" s="26" t="s">
        <v>21</v>
      </c>
      <c r="B30" s="95">
        <v>0</v>
      </c>
      <c r="C30" s="28"/>
      <c r="D30" s="29"/>
      <c r="E30" s="30"/>
      <c r="F30" s="30"/>
      <c r="G30" s="30"/>
      <c r="H30" s="31">
        <f t="shared" si="12"/>
        <v>0</v>
      </c>
      <c r="I30" s="32">
        <f t="shared" si="13"/>
        <v>0</v>
      </c>
      <c r="J30" s="33">
        <f>6+36+24</f>
        <v>66</v>
      </c>
      <c r="K30" s="33">
        <f t="shared" si="14"/>
        <v>66</v>
      </c>
      <c r="L30" s="31">
        <v>0</v>
      </c>
      <c r="M30" s="34"/>
      <c r="N30" s="40"/>
      <c r="O30" s="36"/>
      <c r="P30" s="37">
        <f t="shared" si="15"/>
        <v>0</v>
      </c>
      <c r="Q30" s="41">
        <v>0</v>
      </c>
      <c r="R30" s="33">
        <f t="shared" si="16"/>
        <v>0</v>
      </c>
      <c r="S30" s="38">
        <f t="shared" si="17"/>
        <v>0</v>
      </c>
    </row>
    <row r="31" spans="1:19" ht="15.75" customHeight="1" x14ac:dyDescent="0.5">
      <c r="A31" s="26" t="s">
        <v>42</v>
      </c>
      <c r="B31" s="95">
        <v>0</v>
      </c>
      <c r="C31" s="28"/>
      <c r="D31" s="29"/>
      <c r="E31" s="30"/>
      <c r="F31" s="30"/>
      <c r="G31" s="30"/>
      <c r="H31" s="31">
        <f t="shared" si="12"/>
        <v>0</v>
      </c>
      <c r="I31" s="32">
        <f t="shared" si="13"/>
        <v>0</v>
      </c>
      <c r="J31" s="33"/>
      <c r="K31" s="33">
        <f t="shared" si="14"/>
        <v>0</v>
      </c>
      <c r="L31" s="31">
        <v>0</v>
      </c>
      <c r="M31" s="34"/>
      <c r="N31" s="40"/>
      <c r="O31" s="36"/>
      <c r="P31" s="37">
        <f t="shared" si="15"/>
        <v>0</v>
      </c>
      <c r="Q31" s="41">
        <v>0</v>
      </c>
      <c r="R31" s="33">
        <f t="shared" si="16"/>
        <v>0</v>
      </c>
      <c r="S31" s="38">
        <f t="shared" si="17"/>
        <v>0</v>
      </c>
    </row>
    <row r="32" spans="1:19" ht="15.75" customHeight="1" x14ac:dyDescent="0.5">
      <c r="A32" s="26" t="s">
        <v>22</v>
      </c>
      <c r="B32" s="95">
        <v>0</v>
      </c>
      <c r="C32" s="28"/>
      <c r="D32" s="29"/>
      <c r="E32" s="30"/>
      <c r="F32" s="30"/>
      <c r="G32" s="30"/>
      <c r="H32" s="31">
        <f t="shared" si="12"/>
        <v>0</v>
      </c>
      <c r="I32" s="32">
        <f t="shared" si="13"/>
        <v>0</v>
      </c>
      <c r="J32" s="33">
        <f>12+6+120</f>
        <v>138</v>
      </c>
      <c r="K32" s="33">
        <f t="shared" si="14"/>
        <v>138</v>
      </c>
      <c r="L32" s="31">
        <v>0</v>
      </c>
      <c r="M32" s="34"/>
      <c r="N32" s="40"/>
      <c r="O32" s="36"/>
      <c r="P32" s="37">
        <f t="shared" si="15"/>
        <v>0</v>
      </c>
      <c r="Q32" s="41">
        <v>0</v>
      </c>
      <c r="R32" s="33">
        <f t="shared" si="16"/>
        <v>0</v>
      </c>
      <c r="S32" s="38">
        <f t="shared" si="17"/>
        <v>0</v>
      </c>
    </row>
    <row r="33" spans="1:19" ht="15.75" customHeight="1" x14ac:dyDescent="0.5">
      <c r="A33" s="26" t="s">
        <v>23</v>
      </c>
      <c r="B33" s="95">
        <v>396</v>
      </c>
      <c r="C33" s="28"/>
      <c r="D33" s="29"/>
      <c r="E33" s="30"/>
      <c r="F33" s="30"/>
      <c r="G33" s="30"/>
      <c r="H33" s="31">
        <f t="shared" si="12"/>
        <v>0</v>
      </c>
      <c r="I33" s="32">
        <f t="shared" si="13"/>
        <v>396</v>
      </c>
      <c r="J33" s="41">
        <v>408</v>
      </c>
      <c r="K33" s="33">
        <f t="shared" si="14"/>
        <v>12</v>
      </c>
      <c r="L33" s="31">
        <v>8</v>
      </c>
      <c r="M33" s="34"/>
      <c r="N33" s="35"/>
      <c r="O33" s="53">
        <v>1</v>
      </c>
      <c r="P33" s="37">
        <f t="shared" si="15"/>
        <v>7</v>
      </c>
      <c r="Q33" s="41">
        <v>7</v>
      </c>
      <c r="R33" s="33">
        <f t="shared" si="16"/>
        <v>0</v>
      </c>
      <c r="S33" s="38">
        <f t="shared" si="17"/>
        <v>403</v>
      </c>
    </row>
    <row r="34" spans="1:19" ht="15.75" customHeight="1" x14ac:dyDescent="0.5">
      <c r="A34" s="26" t="s">
        <v>25</v>
      </c>
      <c r="B34" s="95">
        <v>84</v>
      </c>
      <c r="C34" s="28"/>
      <c r="D34" s="39"/>
      <c r="E34" s="42">
        <v>12</v>
      </c>
      <c r="F34" s="42"/>
      <c r="G34" s="30"/>
      <c r="H34" s="31">
        <f t="shared" si="12"/>
        <v>12</v>
      </c>
      <c r="I34" s="32">
        <f t="shared" si="13"/>
        <v>72</v>
      </c>
      <c r="J34" s="33">
        <f>12+9+216+12</f>
        <v>249</v>
      </c>
      <c r="K34" s="33">
        <f t="shared" si="14"/>
        <v>177</v>
      </c>
      <c r="L34" s="31">
        <v>46</v>
      </c>
      <c r="M34" s="64">
        <v>85</v>
      </c>
      <c r="N34" s="40"/>
      <c r="O34" s="53">
        <v>11</v>
      </c>
      <c r="P34" s="37">
        <f t="shared" si="15"/>
        <v>120</v>
      </c>
      <c r="Q34" s="41">
        <v>116</v>
      </c>
      <c r="R34" s="33">
        <f t="shared" si="16"/>
        <v>-4</v>
      </c>
      <c r="S34" s="38">
        <f t="shared" si="17"/>
        <v>192</v>
      </c>
    </row>
    <row r="35" spans="1:19" ht="15.75" customHeight="1" x14ac:dyDescent="0.5">
      <c r="A35" s="26" t="s">
        <v>26</v>
      </c>
      <c r="B35" s="95">
        <v>37</v>
      </c>
      <c r="C35" s="28"/>
      <c r="D35" s="29"/>
      <c r="E35" s="42"/>
      <c r="F35" s="30"/>
      <c r="G35" s="30"/>
      <c r="H35" s="31">
        <f t="shared" si="12"/>
        <v>0</v>
      </c>
      <c r="I35" s="32">
        <f t="shared" si="13"/>
        <v>37</v>
      </c>
      <c r="J35" s="33">
        <f>24+24+24</f>
        <v>72</v>
      </c>
      <c r="K35" s="33">
        <f t="shared" si="14"/>
        <v>35</v>
      </c>
      <c r="L35" s="31">
        <v>5</v>
      </c>
      <c r="M35" s="34"/>
      <c r="N35" s="40"/>
      <c r="O35" s="53">
        <v>2</v>
      </c>
      <c r="P35" s="37">
        <f t="shared" si="15"/>
        <v>3</v>
      </c>
      <c r="Q35" s="41">
        <v>4</v>
      </c>
      <c r="R35" s="33">
        <f t="shared" si="16"/>
        <v>1</v>
      </c>
      <c r="S35" s="38">
        <f t="shared" si="17"/>
        <v>40</v>
      </c>
    </row>
    <row r="36" spans="1:19" ht="15.75" customHeight="1" x14ac:dyDescent="0.5">
      <c r="A36" s="15" t="s">
        <v>43</v>
      </c>
      <c r="B36" s="62"/>
      <c r="C36" s="57"/>
      <c r="D36" s="58"/>
      <c r="E36" s="59"/>
      <c r="F36" s="59"/>
      <c r="G36" s="59"/>
      <c r="H36" s="21"/>
      <c r="I36" s="21"/>
      <c r="J36" s="49"/>
      <c r="K36" s="49"/>
      <c r="L36" s="21"/>
      <c r="M36" s="60"/>
      <c r="N36" s="61"/>
      <c r="O36" s="59"/>
      <c r="P36" s="47"/>
      <c r="Q36" s="49"/>
      <c r="R36" s="49"/>
      <c r="S36" s="47"/>
    </row>
    <row r="37" spans="1:19" ht="15.75" customHeight="1" x14ac:dyDescent="0.5">
      <c r="A37" s="26" t="s">
        <v>29</v>
      </c>
      <c r="B37" s="95">
        <v>357</v>
      </c>
      <c r="C37" s="63"/>
      <c r="D37" s="39">
        <v>8</v>
      </c>
      <c r="E37" s="42">
        <v>19</v>
      </c>
      <c r="F37" s="42">
        <v>40</v>
      </c>
      <c r="G37" s="30"/>
      <c r="H37" s="31">
        <f t="shared" ref="H37:H51" si="18">SUM(E37:G37)</f>
        <v>59</v>
      </c>
      <c r="I37" s="32">
        <f t="shared" ref="I37:I51" si="19">B37-H37+C37+D37</f>
        <v>306</v>
      </c>
      <c r="J37" s="33">
        <f>7+19+120+2+96</f>
        <v>244</v>
      </c>
      <c r="K37" s="33">
        <f t="shared" ref="K37:K51" si="20">J37-I37</f>
        <v>-62</v>
      </c>
      <c r="L37" s="31">
        <v>204</v>
      </c>
      <c r="M37" s="64"/>
      <c r="N37" s="35">
        <v>1</v>
      </c>
      <c r="O37" s="53">
        <v>31</v>
      </c>
      <c r="P37" s="37">
        <f t="shared" ref="P37:P51" si="21">L37-O37+M37+N37</f>
        <v>174</v>
      </c>
      <c r="Q37" s="33">
        <f>96+12+9</f>
        <v>117</v>
      </c>
      <c r="R37" s="33">
        <f t="shared" ref="R37:R51" si="22">Q37-P37</f>
        <v>-57</v>
      </c>
      <c r="S37" s="38">
        <f t="shared" ref="S37:S51" si="23">I37+P37</f>
        <v>480</v>
      </c>
    </row>
    <row r="38" spans="1:19" ht="15.75" customHeight="1" x14ac:dyDescent="0.5">
      <c r="A38" s="26" t="s">
        <v>44</v>
      </c>
      <c r="B38" s="95">
        <v>169</v>
      </c>
      <c r="C38" s="55"/>
      <c r="D38" s="29"/>
      <c r="E38" s="42">
        <v>13</v>
      </c>
      <c r="F38" s="42">
        <v>1</v>
      </c>
      <c r="G38" s="30"/>
      <c r="H38" s="31">
        <f t="shared" si="18"/>
        <v>14</v>
      </c>
      <c r="I38" s="32">
        <f t="shared" si="19"/>
        <v>155</v>
      </c>
      <c r="J38" s="33">
        <f>96+4+72+5</f>
        <v>177</v>
      </c>
      <c r="K38" s="33">
        <f t="shared" si="20"/>
        <v>22</v>
      </c>
      <c r="L38" s="31">
        <v>94</v>
      </c>
      <c r="M38" s="64"/>
      <c r="N38" s="40"/>
      <c r="O38" s="53">
        <v>3</v>
      </c>
      <c r="P38" s="37">
        <f t="shared" si="21"/>
        <v>91</v>
      </c>
      <c r="Q38" s="33">
        <f>96+17</f>
        <v>113</v>
      </c>
      <c r="R38" s="33">
        <f t="shared" si="22"/>
        <v>22</v>
      </c>
      <c r="S38" s="38">
        <f t="shared" si="23"/>
        <v>246</v>
      </c>
    </row>
    <row r="39" spans="1:19" ht="15.75" customHeight="1" x14ac:dyDescent="0.5">
      <c r="A39" s="26" t="s">
        <v>30</v>
      </c>
      <c r="B39" s="95">
        <v>1006</v>
      </c>
      <c r="C39" s="55">
        <f>110+100+500</f>
        <v>710</v>
      </c>
      <c r="D39" s="29"/>
      <c r="E39" s="42">
        <v>141</v>
      </c>
      <c r="F39" s="42">
        <v>57</v>
      </c>
      <c r="G39" s="30"/>
      <c r="H39" s="31">
        <f t="shared" si="18"/>
        <v>198</v>
      </c>
      <c r="I39" s="32">
        <f t="shared" si="19"/>
        <v>1518</v>
      </c>
      <c r="J39" s="33">
        <f>120+96+312+96+11+120+120+96+18+123+120+120+48+15+188</f>
        <v>1603</v>
      </c>
      <c r="K39" s="33">
        <f t="shared" si="20"/>
        <v>85</v>
      </c>
      <c r="L39" s="31">
        <v>195</v>
      </c>
      <c r="M39" s="64">
        <v>133</v>
      </c>
      <c r="N39" s="35"/>
      <c r="O39" s="53">
        <v>137</v>
      </c>
      <c r="P39" s="37">
        <f t="shared" si="21"/>
        <v>191</v>
      </c>
      <c r="Q39" s="33">
        <f>48+10+120</f>
        <v>178</v>
      </c>
      <c r="R39" s="33">
        <f t="shared" si="22"/>
        <v>-13</v>
      </c>
      <c r="S39" s="38">
        <f t="shared" si="23"/>
        <v>1709</v>
      </c>
    </row>
    <row r="40" spans="1:19" ht="15.75" customHeight="1" x14ac:dyDescent="0.5">
      <c r="A40" s="26" t="s">
        <v>31</v>
      </c>
      <c r="B40" s="95">
        <v>154</v>
      </c>
      <c r="C40" s="63"/>
      <c r="D40" s="29"/>
      <c r="E40" s="30"/>
      <c r="F40" s="42">
        <v>121</v>
      </c>
      <c r="G40" s="30"/>
      <c r="H40" s="31">
        <f t="shared" si="18"/>
        <v>121</v>
      </c>
      <c r="I40" s="32">
        <f t="shared" si="19"/>
        <v>33</v>
      </c>
      <c r="J40" s="33">
        <f>24+9</f>
        <v>33</v>
      </c>
      <c r="K40" s="33">
        <f t="shared" si="20"/>
        <v>0</v>
      </c>
      <c r="L40" s="31">
        <v>62</v>
      </c>
      <c r="M40" s="34"/>
      <c r="N40" s="35">
        <v>1</v>
      </c>
      <c r="O40" s="53">
        <v>17</v>
      </c>
      <c r="P40" s="37">
        <f t="shared" si="21"/>
        <v>46</v>
      </c>
      <c r="Q40" s="41">
        <v>96</v>
      </c>
      <c r="R40" s="33">
        <f t="shared" si="22"/>
        <v>50</v>
      </c>
      <c r="S40" s="38">
        <f t="shared" si="23"/>
        <v>79</v>
      </c>
    </row>
    <row r="41" spans="1:19" ht="15.75" customHeight="1" x14ac:dyDescent="0.5">
      <c r="A41" s="26" t="s">
        <v>32</v>
      </c>
      <c r="B41" s="95">
        <v>52</v>
      </c>
      <c r="C41" s="63"/>
      <c r="D41" s="29"/>
      <c r="E41" s="30"/>
      <c r="F41" s="30"/>
      <c r="G41" s="30"/>
      <c r="H41" s="31">
        <f t="shared" si="18"/>
        <v>0</v>
      </c>
      <c r="I41" s="32">
        <f t="shared" si="19"/>
        <v>52</v>
      </c>
      <c r="J41" s="33">
        <f>48+4</f>
        <v>52</v>
      </c>
      <c r="K41" s="33">
        <f t="shared" si="20"/>
        <v>0</v>
      </c>
      <c r="L41" s="31">
        <v>115</v>
      </c>
      <c r="M41" s="34"/>
      <c r="N41" s="40"/>
      <c r="O41" s="53">
        <v>25</v>
      </c>
      <c r="P41" s="37">
        <f t="shared" si="21"/>
        <v>90</v>
      </c>
      <c r="Q41" s="33">
        <f>90</f>
        <v>90</v>
      </c>
      <c r="R41" s="33">
        <f t="shared" si="22"/>
        <v>0</v>
      </c>
      <c r="S41" s="38">
        <f t="shared" si="23"/>
        <v>142</v>
      </c>
    </row>
    <row r="42" spans="1:19" ht="15.75" customHeight="1" x14ac:dyDescent="0.5">
      <c r="A42" s="26" t="s">
        <v>33</v>
      </c>
      <c r="B42" s="95">
        <v>293</v>
      </c>
      <c r="C42" s="63"/>
      <c r="D42" s="29"/>
      <c r="E42" s="42">
        <v>28</v>
      </c>
      <c r="F42" s="42"/>
      <c r="G42" s="42"/>
      <c r="H42" s="31">
        <f t="shared" si="18"/>
        <v>28</v>
      </c>
      <c r="I42" s="32">
        <f t="shared" si="19"/>
        <v>265</v>
      </c>
      <c r="J42" s="33">
        <f>96+72+12+120</f>
        <v>300</v>
      </c>
      <c r="K42" s="33">
        <f t="shared" si="20"/>
        <v>35</v>
      </c>
      <c r="L42" s="31">
        <v>171</v>
      </c>
      <c r="M42" s="34"/>
      <c r="N42" s="35">
        <v>1</v>
      </c>
      <c r="O42" s="53">
        <v>63</v>
      </c>
      <c r="P42" s="37">
        <f t="shared" si="21"/>
        <v>109</v>
      </c>
      <c r="Q42" s="33">
        <f>108</f>
        <v>108</v>
      </c>
      <c r="R42" s="33">
        <f t="shared" si="22"/>
        <v>-1</v>
      </c>
      <c r="S42" s="38">
        <f t="shared" si="23"/>
        <v>374</v>
      </c>
    </row>
    <row r="43" spans="1:19" ht="15.75" customHeight="1" x14ac:dyDescent="0.5">
      <c r="A43" s="26" t="s">
        <v>34</v>
      </c>
      <c r="B43" s="95">
        <v>160</v>
      </c>
      <c r="C43" s="63"/>
      <c r="D43" s="29"/>
      <c r="E43" s="42">
        <v>12</v>
      </c>
      <c r="F43" s="42">
        <v>5</v>
      </c>
      <c r="G43" s="30"/>
      <c r="H43" s="31">
        <f t="shared" si="18"/>
        <v>17</v>
      </c>
      <c r="I43" s="32">
        <f t="shared" si="19"/>
        <v>143</v>
      </c>
      <c r="J43" s="33">
        <f>72+10+72+17</f>
        <v>171</v>
      </c>
      <c r="K43" s="33">
        <f t="shared" si="20"/>
        <v>28</v>
      </c>
      <c r="L43" s="31">
        <v>116</v>
      </c>
      <c r="M43" s="64">
        <v>171</v>
      </c>
      <c r="N43" s="35">
        <v>2</v>
      </c>
      <c r="O43" s="53">
        <v>85</v>
      </c>
      <c r="P43" s="37">
        <f t="shared" si="21"/>
        <v>204</v>
      </c>
      <c r="Q43" s="33">
        <f>24+7+48+3+120</f>
        <v>202</v>
      </c>
      <c r="R43" s="33">
        <f t="shared" si="22"/>
        <v>-2</v>
      </c>
      <c r="S43" s="38">
        <f t="shared" si="23"/>
        <v>347</v>
      </c>
    </row>
    <row r="44" spans="1:19" ht="15.75" customHeight="1" x14ac:dyDescent="0.5">
      <c r="A44" s="26" t="s">
        <v>23</v>
      </c>
      <c r="B44" s="95">
        <v>184</v>
      </c>
      <c r="C44" s="55"/>
      <c r="D44" s="29"/>
      <c r="E44" s="30"/>
      <c r="F44" s="30"/>
      <c r="G44" s="30"/>
      <c r="H44" s="31">
        <f t="shared" si="18"/>
        <v>0</v>
      </c>
      <c r="I44" s="32">
        <f t="shared" si="19"/>
        <v>184</v>
      </c>
      <c r="J44" s="33">
        <f>120+72+5</f>
        <v>197</v>
      </c>
      <c r="K44" s="33">
        <f t="shared" si="20"/>
        <v>13</v>
      </c>
      <c r="L44" s="31">
        <v>117</v>
      </c>
      <c r="M44" s="64"/>
      <c r="N44" s="35"/>
      <c r="O44" s="53">
        <v>35</v>
      </c>
      <c r="P44" s="37">
        <f t="shared" si="21"/>
        <v>82</v>
      </c>
      <c r="Q44" s="33">
        <f>80</f>
        <v>80</v>
      </c>
      <c r="R44" s="33">
        <f t="shared" si="22"/>
        <v>-2</v>
      </c>
      <c r="S44" s="38">
        <f t="shared" si="23"/>
        <v>266</v>
      </c>
    </row>
    <row r="45" spans="1:19" ht="15.75" customHeight="1" x14ac:dyDescent="0.5">
      <c r="A45" s="26" t="s">
        <v>35</v>
      </c>
      <c r="B45" s="95">
        <v>843</v>
      </c>
      <c r="C45" s="55">
        <f>125+173</f>
        <v>298</v>
      </c>
      <c r="D45" s="39">
        <v>5</v>
      </c>
      <c r="E45" s="42">
        <v>36</v>
      </c>
      <c r="F45" s="42">
        <v>11</v>
      </c>
      <c r="G45" s="30"/>
      <c r="H45" s="31">
        <f t="shared" si="18"/>
        <v>47</v>
      </c>
      <c r="I45" s="32">
        <f t="shared" si="19"/>
        <v>1099</v>
      </c>
      <c r="J45" s="33">
        <f>220+3+480+48+29+96+76+96+4+80</f>
        <v>1132</v>
      </c>
      <c r="K45" s="33">
        <f t="shared" si="20"/>
        <v>33</v>
      </c>
      <c r="L45" s="31">
        <v>88</v>
      </c>
      <c r="M45" s="64">
        <v>171</v>
      </c>
      <c r="N45" s="35">
        <v>4</v>
      </c>
      <c r="O45" s="53">
        <v>130</v>
      </c>
      <c r="P45" s="37">
        <f t="shared" si="21"/>
        <v>133</v>
      </c>
      <c r="Q45" s="33">
        <f>96+20+24+31+20+58</f>
        <v>249</v>
      </c>
      <c r="R45" s="33">
        <f t="shared" si="22"/>
        <v>116</v>
      </c>
      <c r="S45" s="38">
        <f t="shared" si="23"/>
        <v>1232</v>
      </c>
    </row>
    <row r="46" spans="1:19" ht="15.75" customHeight="1" x14ac:dyDescent="0.5">
      <c r="A46" s="26" t="s">
        <v>36</v>
      </c>
      <c r="B46" s="95">
        <v>201</v>
      </c>
      <c r="C46" s="55"/>
      <c r="D46" s="29"/>
      <c r="E46" s="30"/>
      <c r="F46" s="42">
        <v>45</v>
      </c>
      <c r="G46" s="30"/>
      <c r="H46" s="31">
        <f t="shared" si="18"/>
        <v>45</v>
      </c>
      <c r="I46" s="32">
        <f t="shared" si="19"/>
        <v>156</v>
      </c>
      <c r="J46" s="33">
        <f>96+3+48+9</f>
        <v>156</v>
      </c>
      <c r="K46" s="33">
        <f t="shared" si="20"/>
        <v>0</v>
      </c>
      <c r="L46" s="31">
        <v>81</v>
      </c>
      <c r="M46" s="34"/>
      <c r="N46" s="40"/>
      <c r="O46" s="53">
        <v>15</v>
      </c>
      <c r="P46" s="37">
        <f t="shared" si="21"/>
        <v>66</v>
      </c>
      <c r="Q46" s="33">
        <f>69</f>
        <v>69</v>
      </c>
      <c r="R46" s="33">
        <f t="shared" si="22"/>
        <v>3</v>
      </c>
      <c r="S46" s="38">
        <f t="shared" si="23"/>
        <v>222</v>
      </c>
    </row>
    <row r="47" spans="1:19" ht="15.75" customHeight="1" x14ac:dyDescent="0.5">
      <c r="A47" s="26" t="s">
        <v>24</v>
      </c>
      <c r="B47" s="95">
        <v>305</v>
      </c>
      <c r="C47" s="55">
        <f>94+68</f>
        <v>162</v>
      </c>
      <c r="D47" s="39">
        <v>1</v>
      </c>
      <c r="E47" s="42">
        <v>36</v>
      </c>
      <c r="F47" s="42">
        <v>50</v>
      </c>
      <c r="G47" s="30"/>
      <c r="H47" s="31">
        <f t="shared" si="18"/>
        <v>86</v>
      </c>
      <c r="I47" s="32">
        <f t="shared" si="19"/>
        <v>382</v>
      </c>
      <c r="J47" s="33">
        <f>96+48+18+120+96+16</f>
        <v>394</v>
      </c>
      <c r="K47" s="33">
        <f t="shared" si="20"/>
        <v>12</v>
      </c>
      <c r="L47" s="31">
        <v>1007</v>
      </c>
      <c r="M47" s="64">
        <v>420</v>
      </c>
      <c r="N47" s="35">
        <v>1</v>
      </c>
      <c r="O47" s="53">
        <v>454</v>
      </c>
      <c r="P47" s="37">
        <f t="shared" si="21"/>
        <v>974</v>
      </c>
      <c r="Q47" s="33">
        <f>120+48+120+96+96+130+240</f>
        <v>850</v>
      </c>
      <c r="R47" s="33">
        <f t="shared" si="22"/>
        <v>-124</v>
      </c>
      <c r="S47" s="38">
        <f t="shared" si="23"/>
        <v>1356</v>
      </c>
    </row>
    <row r="48" spans="1:19" ht="15.75" customHeight="1" x14ac:dyDescent="0.5">
      <c r="A48" s="26" t="s">
        <v>37</v>
      </c>
      <c r="B48" s="95">
        <v>313</v>
      </c>
      <c r="C48" s="63"/>
      <c r="D48" s="29"/>
      <c r="E48" s="42">
        <v>3</v>
      </c>
      <c r="F48" s="42"/>
      <c r="G48" s="30"/>
      <c r="H48" s="31">
        <f t="shared" si="18"/>
        <v>3</v>
      </c>
      <c r="I48" s="32">
        <f t="shared" si="19"/>
        <v>310</v>
      </c>
      <c r="J48" s="41">
        <v>232</v>
      </c>
      <c r="K48" s="33">
        <f t="shared" si="20"/>
        <v>-78</v>
      </c>
      <c r="L48" s="31">
        <v>108</v>
      </c>
      <c r="M48" s="64"/>
      <c r="N48" s="35">
        <v>4</v>
      </c>
      <c r="O48" s="53">
        <v>73</v>
      </c>
      <c r="P48" s="37">
        <f t="shared" si="21"/>
        <v>39</v>
      </c>
      <c r="Q48" s="41">
        <f>72+96+7+38</f>
        <v>213</v>
      </c>
      <c r="R48" s="33">
        <f t="shared" si="22"/>
        <v>174</v>
      </c>
      <c r="S48" s="38">
        <f t="shared" si="23"/>
        <v>349</v>
      </c>
    </row>
    <row r="49" spans="1:19" ht="15.75" customHeight="1" x14ac:dyDescent="0.5">
      <c r="A49" s="26" t="s">
        <v>38</v>
      </c>
      <c r="B49" s="95">
        <v>44</v>
      </c>
      <c r="C49" s="63"/>
      <c r="D49" s="29"/>
      <c r="E49" s="42"/>
      <c r="F49" s="30"/>
      <c r="G49" s="30"/>
      <c r="H49" s="31">
        <f t="shared" si="18"/>
        <v>0</v>
      </c>
      <c r="I49" s="32">
        <f t="shared" si="19"/>
        <v>44</v>
      </c>
      <c r="J49" s="41">
        <v>48</v>
      </c>
      <c r="K49" s="33">
        <f t="shared" si="20"/>
        <v>4</v>
      </c>
      <c r="L49" s="31">
        <v>70</v>
      </c>
      <c r="M49" s="34"/>
      <c r="N49" s="35"/>
      <c r="O49" s="53">
        <v>28</v>
      </c>
      <c r="P49" s="37">
        <f t="shared" si="21"/>
        <v>42</v>
      </c>
      <c r="Q49" s="41">
        <v>41</v>
      </c>
      <c r="R49" s="33">
        <f t="shared" si="22"/>
        <v>-1</v>
      </c>
      <c r="S49" s="38">
        <f t="shared" si="23"/>
        <v>86</v>
      </c>
    </row>
    <row r="50" spans="1:19" ht="15.75" customHeight="1" x14ac:dyDescent="0.5">
      <c r="A50" s="26" t="s">
        <v>39</v>
      </c>
      <c r="B50" s="95">
        <v>368</v>
      </c>
      <c r="C50" s="28"/>
      <c r="D50" s="29"/>
      <c r="E50" s="42">
        <v>1</v>
      </c>
      <c r="F50" s="30"/>
      <c r="G50" s="30"/>
      <c r="H50" s="31">
        <f t="shared" si="18"/>
        <v>1</v>
      </c>
      <c r="I50" s="32">
        <f t="shared" si="19"/>
        <v>367</v>
      </c>
      <c r="J50" s="33">
        <f>35+68+280</f>
        <v>383</v>
      </c>
      <c r="K50" s="33">
        <f t="shared" si="20"/>
        <v>16</v>
      </c>
      <c r="L50" s="31">
        <v>83</v>
      </c>
      <c r="M50" s="34"/>
      <c r="N50" s="40"/>
      <c r="O50" s="53">
        <v>23</v>
      </c>
      <c r="P50" s="37">
        <f t="shared" si="21"/>
        <v>60</v>
      </c>
      <c r="Q50" s="33">
        <f>48+15</f>
        <v>63</v>
      </c>
      <c r="R50" s="33">
        <f t="shared" si="22"/>
        <v>3</v>
      </c>
      <c r="S50" s="38">
        <f t="shared" si="23"/>
        <v>427</v>
      </c>
    </row>
    <row r="51" spans="1:19" ht="15.75" customHeight="1" x14ac:dyDescent="0.5">
      <c r="A51" s="26" t="s">
        <v>40</v>
      </c>
      <c r="B51" s="95">
        <v>0</v>
      </c>
      <c r="C51" s="28"/>
      <c r="D51" s="29"/>
      <c r="E51" s="30"/>
      <c r="F51" s="30"/>
      <c r="G51" s="30"/>
      <c r="H51" s="31">
        <f t="shared" si="18"/>
        <v>0</v>
      </c>
      <c r="I51" s="32">
        <f t="shared" si="19"/>
        <v>0</v>
      </c>
      <c r="J51" s="33"/>
      <c r="K51" s="33">
        <f t="shared" si="20"/>
        <v>0</v>
      </c>
      <c r="L51" s="31">
        <v>64</v>
      </c>
      <c r="M51" s="34"/>
      <c r="N51" s="40"/>
      <c r="O51" s="53">
        <v>10</v>
      </c>
      <c r="P51" s="37">
        <f t="shared" si="21"/>
        <v>54</v>
      </c>
      <c r="Q51" s="33">
        <f>48+7</f>
        <v>55</v>
      </c>
      <c r="R51" s="33">
        <f t="shared" si="22"/>
        <v>1</v>
      </c>
      <c r="S51" s="38">
        <f t="shared" si="23"/>
        <v>54</v>
      </c>
    </row>
    <row r="52" spans="1:19" ht="15.75" customHeight="1" x14ac:dyDescent="0.5">
      <c r="A52" s="65" t="s">
        <v>45</v>
      </c>
      <c r="B52" s="66"/>
      <c r="C52" s="67"/>
      <c r="D52" s="58"/>
      <c r="E52" s="59"/>
      <c r="F52" s="59"/>
      <c r="G52" s="59"/>
      <c r="H52" s="21"/>
      <c r="I52" s="21"/>
      <c r="J52" s="49"/>
      <c r="K52" s="49"/>
      <c r="L52" s="21"/>
      <c r="M52" s="60"/>
      <c r="N52" s="61"/>
      <c r="O52" s="59"/>
      <c r="P52" s="21"/>
      <c r="Q52" s="49"/>
      <c r="R52" s="49"/>
      <c r="S52" s="21"/>
    </row>
    <row r="53" spans="1:19" ht="15.75" customHeight="1" x14ac:dyDescent="0.5">
      <c r="A53" s="26" t="s">
        <v>20</v>
      </c>
      <c r="B53" s="95">
        <v>0</v>
      </c>
      <c r="C53" s="28"/>
      <c r="D53" s="29"/>
      <c r="E53" s="30"/>
      <c r="F53" s="30"/>
      <c r="G53" s="30"/>
      <c r="H53" s="31">
        <f t="shared" ref="H53:H57" si="24">SUM(E53:G53)</f>
        <v>0</v>
      </c>
      <c r="I53" s="32">
        <f t="shared" ref="I53:I57" si="25">B53-H53+C53+D53</f>
        <v>0</v>
      </c>
      <c r="J53" s="33"/>
      <c r="K53" s="33">
        <f t="shared" ref="K53:K57" si="26">J53-I53</f>
        <v>0</v>
      </c>
      <c r="L53" s="31">
        <v>109</v>
      </c>
      <c r="M53" s="34"/>
      <c r="N53" s="35"/>
      <c r="O53" s="53">
        <v>10</v>
      </c>
      <c r="P53" s="37">
        <f t="shared" ref="P53:P57" si="27">L53-O53+M53+N53</f>
        <v>99</v>
      </c>
      <c r="Q53" s="41">
        <v>97</v>
      </c>
      <c r="R53" s="33">
        <f t="shared" ref="R53:R57" si="28">Q53-P53</f>
        <v>-2</v>
      </c>
      <c r="S53" s="38">
        <f t="shared" ref="S53:S65" si="29">I53+P53</f>
        <v>99</v>
      </c>
    </row>
    <row r="54" spans="1:19" ht="15.75" customHeight="1" x14ac:dyDescent="0.5">
      <c r="A54" s="26" t="s">
        <v>21</v>
      </c>
      <c r="B54" s="95">
        <v>0</v>
      </c>
      <c r="C54" s="28"/>
      <c r="D54" s="29"/>
      <c r="E54" s="30"/>
      <c r="F54" s="30"/>
      <c r="G54" s="30"/>
      <c r="H54" s="31">
        <f t="shared" si="24"/>
        <v>0</v>
      </c>
      <c r="I54" s="32">
        <f t="shared" si="25"/>
        <v>0</v>
      </c>
      <c r="J54" s="33"/>
      <c r="K54" s="33">
        <f t="shared" si="26"/>
        <v>0</v>
      </c>
      <c r="L54" s="31">
        <v>41</v>
      </c>
      <c r="M54" s="64">
        <v>49</v>
      </c>
      <c r="N54" s="40"/>
      <c r="O54" s="53">
        <v>11</v>
      </c>
      <c r="P54" s="37">
        <f t="shared" si="27"/>
        <v>79</v>
      </c>
      <c r="Q54" s="33">
        <f>81</f>
        <v>81</v>
      </c>
      <c r="R54" s="33">
        <f t="shared" si="28"/>
        <v>2</v>
      </c>
      <c r="S54" s="38">
        <f t="shared" si="29"/>
        <v>79</v>
      </c>
    </row>
    <row r="55" spans="1:19" ht="15.75" customHeight="1" x14ac:dyDescent="0.5">
      <c r="A55" s="26" t="s">
        <v>22</v>
      </c>
      <c r="B55" s="95">
        <v>0</v>
      </c>
      <c r="C55" s="28"/>
      <c r="D55" s="29"/>
      <c r="E55" s="30"/>
      <c r="F55" s="30"/>
      <c r="G55" s="30"/>
      <c r="H55" s="31">
        <f t="shared" si="24"/>
        <v>0</v>
      </c>
      <c r="I55" s="32">
        <f t="shared" si="25"/>
        <v>0</v>
      </c>
      <c r="J55" s="33"/>
      <c r="K55" s="33">
        <f t="shared" si="26"/>
        <v>0</v>
      </c>
      <c r="L55" s="31">
        <v>61</v>
      </c>
      <c r="M55" s="34"/>
      <c r="N55" s="40"/>
      <c r="O55" s="53">
        <v>11</v>
      </c>
      <c r="P55" s="37">
        <f t="shared" si="27"/>
        <v>50</v>
      </c>
      <c r="Q55" s="33">
        <f>51</f>
        <v>51</v>
      </c>
      <c r="R55" s="33">
        <f t="shared" si="28"/>
        <v>1</v>
      </c>
      <c r="S55" s="38">
        <f t="shared" si="29"/>
        <v>50</v>
      </c>
    </row>
    <row r="56" spans="1:19" ht="15.75" customHeight="1" x14ac:dyDescent="0.5">
      <c r="A56" s="26" t="s">
        <v>23</v>
      </c>
      <c r="B56" s="95">
        <v>0</v>
      </c>
      <c r="C56" s="28"/>
      <c r="D56" s="29"/>
      <c r="E56" s="30"/>
      <c r="F56" s="30"/>
      <c r="G56" s="30"/>
      <c r="H56" s="31">
        <f t="shared" si="24"/>
        <v>0</v>
      </c>
      <c r="I56" s="32">
        <f t="shared" si="25"/>
        <v>0</v>
      </c>
      <c r="J56" s="33"/>
      <c r="K56" s="33">
        <f t="shared" si="26"/>
        <v>0</v>
      </c>
      <c r="L56" s="31">
        <v>46</v>
      </c>
      <c r="M56" s="64">
        <v>62</v>
      </c>
      <c r="N56" s="40"/>
      <c r="O56" s="53">
        <v>5</v>
      </c>
      <c r="P56" s="37">
        <f t="shared" si="27"/>
        <v>103</v>
      </c>
      <c r="Q56" s="33">
        <f>102</f>
        <v>102</v>
      </c>
      <c r="R56" s="33">
        <f t="shared" si="28"/>
        <v>-1</v>
      </c>
      <c r="S56" s="38">
        <f t="shared" si="29"/>
        <v>103</v>
      </c>
    </row>
    <row r="57" spans="1:19" ht="18" customHeight="1" x14ac:dyDescent="0.5">
      <c r="A57" s="26" t="s">
        <v>25</v>
      </c>
      <c r="B57" s="95">
        <v>0</v>
      </c>
      <c r="C57" s="54">
        <v>5</v>
      </c>
      <c r="D57" s="39">
        <v>2</v>
      </c>
      <c r="E57" s="42">
        <v>5</v>
      </c>
      <c r="F57" s="42">
        <v>5</v>
      </c>
      <c r="G57" s="30"/>
      <c r="H57" s="31">
        <f t="shared" si="24"/>
        <v>10</v>
      </c>
      <c r="I57" s="32">
        <f t="shared" si="25"/>
        <v>-3</v>
      </c>
      <c r="J57" s="41">
        <v>51</v>
      </c>
      <c r="K57" s="33">
        <f t="shared" si="26"/>
        <v>54</v>
      </c>
      <c r="L57" s="31">
        <v>14</v>
      </c>
      <c r="M57" s="64">
        <v>120</v>
      </c>
      <c r="N57" s="35">
        <v>2</v>
      </c>
      <c r="O57" s="53">
        <v>35</v>
      </c>
      <c r="P57" s="37">
        <f t="shared" si="27"/>
        <v>101</v>
      </c>
      <c r="Q57" s="41">
        <f>72+21</f>
        <v>93</v>
      </c>
      <c r="R57" s="33">
        <f t="shared" si="28"/>
        <v>-8</v>
      </c>
      <c r="S57" s="38">
        <f t="shared" si="29"/>
        <v>98</v>
      </c>
    </row>
    <row r="58" spans="1:19" ht="15.75" customHeight="1" x14ac:dyDescent="0.5">
      <c r="A58" s="15" t="s">
        <v>46</v>
      </c>
      <c r="B58" s="62"/>
      <c r="C58" s="57"/>
      <c r="D58" s="58"/>
      <c r="E58" s="59"/>
      <c r="F58" s="59"/>
      <c r="G58" s="59"/>
      <c r="H58" s="21"/>
      <c r="I58" s="21"/>
      <c r="J58" s="49"/>
      <c r="K58" s="49"/>
      <c r="L58" s="21"/>
      <c r="M58" s="60"/>
      <c r="N58" s="61"/>
      <c r="O58" s="59"/>
      <c r="P58" s="21"/>
      <c r="Q58" s="49"/>
      <c r="R58" s="49"/>
      <c r="S58" s="38">
        <f t="shared" si="29"/>
        <v>0</v>
      </c>
    </row>
    <row r="59" spans="1:19" ht="15.75" customHeight="1" x14ac:dyDescent="0.5">
      <c r="A59" s="26" t="s">
        <v>47</v>
      </c>
      <c r="B59" s="95">
        <v>0</v>
      </c>
      <c r="C59" s="54">
        <v>71</v>
      </c>
      <c r="D59" s="29"/>
      <c r="E59" s="30"/>
      <c r="F59" s="30"/>
      <c r="G59" s="30"/>
      <c r="H59" s="31">
        <f t="shared" ref="H59:H66" si="30">SUM(E59:G59)</f>
        <v>0</v>
      </c>
      <c r="I59" s="32">
        <f t="shared" ref="I59:I66" si="31">B59-H59+C59+D59</f>
        <v>71</v>
      </c>
      <c r="J59" s="33">
        <f>7+3+216</f>
        <v>226</v>
      </c>
      <c r="K59" s="33">
        <f>J59-I59</f>
        <v>155</v>
      </c>
      <c r="L59" s="31">
        <v>6</v>
      </c>
      <c r="M59" s="34"/>
      <c r="N59" s="40"/>
      <c r="O59" s="53">
        <v>1</v>
      </c>
      <c r="P59" s="97">
        <v>6</v>
      </c>
      <c r="Q59" s="41">
        <v>4</v>
      </c>
      <c r="R59" s="33">
        <f>Q59-P59</f>
        <v>-2</v>
      </c>
      <c r="S59" s="38">
        <f t="shared" si="29"/>
        <v>77</v>
      </c>
    </row>
    <row r="60" spans="1:19" ht="15.75" customHeight="1" x14ac:dyDescent="0.5">
      <c r="A60" s="70" t="s">
        <v>61</v>
      </c>
      <c r="B60" s="95">
        <v>0</v>
      </c>
      <c r="C60" s="28"/>
      <c r="D60" s="29"/>
      <c r="E60" s="30"/>
      <c r="F60" s="42">
        <v>2</v>
      </c>
      <c r="G60" s="30"/>
      <c r="H60" s="31">
        <f t="shared" si="30"/>
        <v>2</v>
      </c>
      <c r="I60" s="32">
        <f t="shared" si="31"/>
        <v>-2</v>
      </c>
      <c r="J60" s="33"/>
      <c r="K60" s="33"/>
      <c r="L60" s="31">
        <v>0</v>
      </c>
      <c r="M60" s="34"/>
      <c r="N60" s="40"/>
      <c r="O60" s="36"/>
      <c r="P60" s="37">
        <f t="shared" ref="P60:P66" si="32">L60-O60+M60+N60</f>
        <v>0</v>
      </c>
      <c r="Q60" s="33"/>
      <c r="R60" s="33"/>
      <c r="S60" s="38">
        <f t="shared" si="29"/>
        <v>-2</v>
      </c>
    </row>
    <row r="61" spans="1:19" ht="15.75" customHeight="1" x14ac:dyDescent="0.5">
      <c r="A61" s="26" t="s">
        <v>49</v>
      </c>
      <c r="B61" s="95">
        <v>21</v>
      </c>
      <c r="C61" s="28"/>
      <c r="D61" s="29"/>
      <c r="E61" s="42"/>
      <c r="F61" s="30"/>
      <c r="G61" s="30"/>
      <c r="H61" s="31">
        <f t="shared" si="30"/>
        <v>0</v>
      </c>
      <c r="I61" s="32">
        <f t="shared" si="31"/>
        <v>21</v>
      </c>
      <c r="J61" s="41">
        <v>21</v>
      </c>
      <c r="K61" s="33">
        <f t="shared" ref="K61:K66" si="33">J61-I61</f>
        <v>0</v>
      </c>
      <c r="L61" s="31">
        <v>22</v>
      </c>
      <c r="M61" s="34"/>
      <c r="N61" s="40"/>
      <c r="O61" s="53">
        <v>10</v>
      </c>
      <c r="P61" s="37">
        <f t="shared" si="32"/>
        <v>12</v>
      </c>
      <c r="Q61" s="41">
        <v>13</v>
      </c>
      <c r="R61" s="33">
        <f t="shared" ref="R61:R66" si="34">Q61-P61</f>
        <v>1</v>
      </c>
      <c r="S61" s="38">
        <f t="shared" si="29"/>
        <v>33</v>
      </c>
    </row>
    <row r="62" spans="1:19" ht="15.75" customHeight="1" x14ac:dyDescent="0.5">
      <c r="A62" s="26" t="s">
        <v>50</v>
      </c>
      <c r="B62" s="95">
        <v>0</v>
      </c>
      <c r="C62" s="28"/>
      <c r="D62" s="29"/>
      <c r="E62" s="30"/>
      <c r="F62" s="30"/>
      <c r="G62" s="30"/>
      <c r="H62" s="31">
        <f t="shared" si="30"/>
        <v>0</v>
      </c>
      <c r="I62" s="32">
        <f t="shared" si="31"/>
        <v>0</v>
      </c>
      <c r="J62" s="33"/>
      <c r="K62" s="33">
        <f t="shared" si="33"/>
        <v>0</v>
      </c>
      <c r="L62" s="31">
        <v>24</v>
      </c>
      <c r="M62" s="64">
        <v>73</v>
      </c>
      <c r="N62" s="40"/>
      <c r="O62" s="53">
        <v>27</v>
      </c>
      <c r="P62" s="37">
        <f t="shared" si="32"/>
        <v>70</v>
      </c>
      <c r="Q62" s="41">
        <v>73</v>
      </c>
      <c r="R62" s="33">
        <f t="shared" si="34"/>
        <v>3</v>
      </c>
      <c r="S62" s="38">
        <f t="shared" si="29"/>
        <v>70</v>
      </c>
    </row>
    <row r="63" spans="1:19" ht="15.75" customHeight="1" x14ac:dyDescent="0.5">
      <c r="A63" s="26" t="s">
        <v>51</v>
      </c>
      <c r="B63" s="95">
        <v>14</v>
      </c>
      <c r="C63" s="28"/>
      <c r="D63" s="29"/>
      <c r="E63" s="30"/>
      <c r="F63" s="30"/>
      <c r="G63" s="30"/>
      <c r="H63" s="31">
        <f t="shared" si="30"/>
        <v>0</v>
      </c>
      <c r="I63" s="32">
        <f t="shared" si="31"/>
        <v>14</v>
      </c>
      <c r="J63" s="41">
        <v>14</v>
      </c>
      <c r="K63" s="33">
        <f t="shared" si="33"/>
        <v>0</v>
      </c>
      <c r="L63" s="31">
        <v>11</v>
      </c>
      <c r="M63" s="34"/>
      <c r="N63" s="40"/>
      <c r="O63" s="53"/>
      <c r="P63" s="37">
        <f t="shared" si="32"/>
        <v>11</v>
      </c>
      <c r="Q63" s="41"/>
      <c r="R63" s="33">
        <f t="shared" si="34"/>
        <v>-11</v>
      </c>
      <c r="S63" s="38">
        <f t="shared" si="29"/>
        <v>25</v>
      </c>
    </row>
    <row r="64" spans="1:19" ht="15.75" customHeight="1" x14ac:dyDescent="0.5">
      <c r="A64" s="26" t="s">
        <v>52</v>
      </c>
      <c r="B64" s="95">
        <v>21</v>
      </c>
      <c r="C64" s="28"/>
      <c r="D64" s="29"/>
      <c r="E64" s="30"/>
      <c r="F64" s="30"/>
      <c r="G64" s="30"/>
      <c r="H64" s="31">
        <f t="shared" si="30"/>
        <v>0</v>
      </c>
      <c r="I64" s="32">
        <f t="shared" si="31"/>
        <v>21</v>
      </c>
      <c r="J64" s="41">
        <v>21</v>
      </c>
      <c r="K64" s="33">
        <f t="shared" si="33"/>
        <v>0</v>
      </c>
      <c r="L64" s="31">
        <v>18</v>
      </c>
      <c r="M64" s="34"/>
      <c r="N64" s="40"/>
      <c r="O64" s="53"/>
      <c r="P64" s="37">
        <f t="shared" si="32"/>
        <v>18</v>
      </c>
      <c r="Q64" s="41">
        <v>18</v>
      </c>
      <c r="R64" s="33">
        <f t="shared" si="34"/>
        <v>0</v>
      </c>
      <c r="S64" s="38">
        <f t="shared" si="29"/>
        <v>39</v>
      </c>
    </row>
    <row r="65" spans="1:19" ht="15.75" customHeight="1" x14ac:dyDescent="0.5">
      <c r="A65" s="72" t="s">
        <v>53</v>
      </c>
      <c r="B65" s="95">
        <v>0</v>
      </c>
      <c r="C65" s="73"/>
      <c r="D65" s="74"/>
      <c r="E65" s="30"/>
      <c r="F65" s="30"/>
      <c r="G65" s="30"/>
      <c r="H65" s="31">
        <f t="shared" si="30"/>
        <v>0</v>
      </c>
      <c r="I65" s="32">
        <f t="shared" si="31"/>
        <v>0</v>
      </c>
      <c r="J65" s="33"/>
      <c r="K65" s="33">
        <f t="shared" si="33"/>
        <v>0</v>
      </c>
      <c r="L65" s="31">
        <v>20</v>
      </c>
      <c r="M65" s="75"/>
      <c r="N65" s="76"/>
      <c r="O65" s="53">
        <v>1</v>
      </c>
      <c r="P65" s="37">
        <f t="shared" si="32"/>
        <v>19</v>
      </c>
      <c r="Q65" s="41">
        <v>19</v>
      </c>
      <c r="R65" s="33">
        <f t="shared" si="34"/>
        <v>0</v>
      </c>
      <c r="S65" s="38">
        <f t="shared" si="29"/>
        <v>19</v>
      </c>
    </row>
    <row r="66" spans="1:19" ht="15.75" customHeight="1" x14ac:dyDescent="0.5">
      <c r="A66" s="77" t="s">
        <v>54</v>
      </c>
      <c r="B66" s="95">
        <v>121</v>
      </c>
      <c r="C66" s="27"/>
      <c r="D66" s="78"/>
      <c r="E66" s="42">
        <v>6</v>
      </c>
      <c r="F66" s="30"/>
      <c r="G66" s="30"/>
      <c r="H66" s="31">
        <f t="shared" si="30"/>
        <v>6</v>
      </c>
      <c r="I66" s="32">
        <f t="shared" si="31"/>
        <v>115</v>
      </c>
      <c r="J66" s="41">
        <v>19</v>
      </c>
      <c r="K66" s="33">
        <f t="shared" si="33"/>
        <v>-96</v>
      </c>
      <c r="L66" s="31">
        <v>53</v>
      </c>
      <c r="M66" s="79"/>
      <c r="N66" s="79"/>
      <c r="O66" s="53">
        <v>14</v>
      </c>
      <c r="P66" s="37">
        <f t="shared" si="32"/>
        <v>39</v>
      </c>
      <c r="Q66" s="41">
        <f>48+21+96+6</f>
        <v>171</v>
      </c>
      <c r="R66" s="33">
        <f t="shared" si="34"/>
        <v>132</v>
      </c>
      <c r="S66" s="38"/>
    </row>
    <row r="67" spans="1:19" ht="24.75" customHeight="1" x14ac:dyDescent="0.75">
      <c r="B67" s="80">
        <f t="shared" ref="B67:D67" si="35">SUM(B6:B66)</f>
        <v>9859</v>
      </c>
      <c r="C67" s="80">
        <f t="shared" si="35"/>
        <v>1558</v>
      </c>
      <c r="D67" s="81">
        <f t="shared" si="35"/>
        <v>28</v>
      </c>
      <c r="E67" s="82">
        <f t="shared" ref="E67:J67" si="36">SUM(E6:E66)</f>
        <v>562</v>
      </c>
      <c r="F67" s="82">
        <f t="shared" si="36"/>
        <v>515</v>
      </c>
      <c r="G67" s="82">
        <f t="shared" si="36"/>
        <v>16</v>
      </c>
      <c r="H67" s="83">
        <f t="shared" si="36"/>
        <v>1093</v>
      </c>
      <c r="I67" s="84">
        <f t="shared" si="36"/>
        <v>10352</v>
      </c>
      <c r="J67" s="84">
        <f t="shared" si="36"/>
        <v>11458</v>
      </c>
      <c r="K67" s="84">
        <f>SUM(K6:K65)</f>
        <v>1200</v>
      </c>
      <c r="L67" s="85">
        <f t="shared" ref="L67:O67" si="37">SUM(L6:L66)</f>
        <v>4691</v>
      </c>
      <c r="M67" s="85">
        <f t="shared" si="37"/>
        <v>1950</v>
      </c>
      <c r="N67" s="85">
        <f t="shared" si="37"/>
        <v>25</v>
      </c>
      <c r="O67" s="85">
        <f t="shared" si="37"/>
        <v>1606</v>
      </c>
      <c r="P67" s="98">
        <f t="shared" ref="P67:Q67" si="38">SUM(P6:P66)</f>
        <v>5061</v>
      </c>
      <c r="Q67" s="84">
        <f t="shared" si="38"/>
        <v>4765</v>
      </c>
      <c r="R67" s="84">
        <f>SUM(R6:R65)</f>
        <v>-428</v>
      </c>
      <c r="S67" s="87">
        <f>I67+P67</f>
        <v>15413</v>
      </c>
    </row>
    <row r="68" spans="1:19" ht="29.25" customHeight="1" x14ac:dyDescent="0.7">
      <c r="D68" s="88" t="s">
        <v>55</v>
      </c>
      <c r="E68" s="89">
        <f>E67+F67+G67-D67</f>
        <v>1065</v>
      </c>
      <c r="H68" s="90"/>
      <c r="I68" s="90"/>
      <c r="N68" s="91" t="s">
        <v>55</v>
      </c>
      <c r="O68" s="92">
        <f>SUM(O6:O66)</f>
        <v>1606</v>
      </c>
    </row>
    <row r="69" spans="1:19" ht="15.75" customHeight="1" x14ac:dyDescent="0.4">
      <c r="A69" s="93" t="s">
        <v>62</v>
      </c>
      <c r="G69" s="126" t="s">
        <v>56</v>
      </c>
      <c r="H69" s="117"/>
      <c r="I69" s="127">
        <f>E68+O68</f>
        <v>2671</v>
      </c>
    </row>
    <row r="70" spans="1:19" ht="15.75" customHeight="1" x14ac:dyDescent="0.4">
      <c r="G70" s="128" t="s">
        <v>57</v>
      </c>
      <c r="H70" s="109"/>
      <c r="I70" s="115"/>
    </row>
    <row r="71" spans="1:19" ht="15.75" customHeight="1" x14ac:dyDescent="0.35">
      <c r="H71" s="90"/>
      <c r="I71" s="90"/>
    </row>
    <row r="72" spans="1:19" ht="15.75" customHeight="1" x14ac:dyDescent="0.35">
      <c r="H72" s="90"/>
      <c r="I72" s="90"/>
    </row>
    <row r="73" spans="1:19" ht="15.75" customHeight="1" x14ac:dyDescent="0.35">
      <c r="H73" s="90"/>
      <c r="I73" s="90"/>
    </row>
    <row r="74" spans="1:19" ht="15.75" customHeight="1" x14ac:dyDescent="0.35">
      <c r="H74" s="90"/>
      <c r="I74" s="90"/>
    </row>
    <row r="75" spans="1:19" ht="15.75" customHeight="1" x14ac:dyDescent="0.35">
      <c r="H75" s="90"/>
      <c r="I75" s="90"/>
    </row>
    <row r="76" spans="1:19" ht="15.75" customHeight="1" x14ac:dyDescent="0.35">
      <c r="H76" s="90"/>
      <c r="I76" s="90"/>
    </row>
    <row r="77" spans="1:19" ht="15.75" customHeight="1" x14ac:dyDescent="0.35">
      <c r="H77" s="90"/>
      <c r="I77" s="90"/>
    </row>
    <row r="78" spans="1:19" ht="15.75" customHeight="1" x14ac:dyDescent="0.35">
      <c r="H78" s="90"/>
      <c r="I78" s="90"/>
    </row>
    <row r="79" spans="1:19" ht="15.75" customHeight="1" x14ac:dyDescent="0.35">
      <c r="H79" s="90"/>
      <c r="I79" s="90"/>
    </row>
    <row r="80" spans="1:19" ht="15.75" customHeight="1" x14ac:dyDescent="0.35">
      <c r="H80" s="90"/>
      <c r="I80" s="90"/>
    </row>
    <row r="81" spans="7:9" ht="15.75" customHeight="1" x14ac:dyDescent="0.35">
      <c r="G81" s="93" t="s">
        <v>63</v>
      </c>
      <c r="H81" s="90"/>
      <c r="I81" s="90"/>
    </row>
    <row r="82" spans="7:9" ht="15.75" customHeight="1" x14ac:dyDescent="0.35">
      <c r="G82" s="93" t="s">
        <v>64</v>
      </c>
      <c r="H82" s="90"/>
      <c r="I82" s="90"/>
    </row>
    <row r="83" spans="7:9" ht="15.75" customHeight="1" x14ac:dyDescent="0.35">
      <c r="H83" s="90"/>
      <c r="I83" s="90"/>
    </row>
    <row r="84" spans="7:9" ht="15.75" customHeight="1" x14ac:dyDescent="0.35">
      <c r="H84" s="90"/>
      <c r="I84" s="90"/>
    </row>
    <row r="85" spans="7:9" ht="15.75" customHeight="1" x14ac:dyDescent="0.35">
      <c r="H85" s="90"/>
      <c r="I85" s="90"/>
    </row>
    <row r="86" spans="7:9" ht="15.75" customHeight="1" x14ac:dyDescent="0.35">
      <c r="H86" s="90"/>
      <c r="I86" s="90"/>
    </row>
    <row r="87" spans="7:9" ht="15.75" customHeight="1" x14ac:dyDescent="0.35">
      <c r="H87" s="90"/>
      <c r="I87" s="90"/>
    </row>
    <row r="88" spans="7:9" ht="15.75" customHeight="1" x14ac:dyDescent="0.35">
      <c r="H88" s="90"/>
      <c r="I88" s="90"/>
    </row>
    <row r="89" spans="7:9" ht="15.75" customHeight="1" x14ac:dyDescent="0.35">
      <c r="H89" s="90"/>
      <c r="I89" s="90"/>
    </row>
    <row r="90" spans="7:9" ht="15.75" customHeight="1" x14ac:dyDescent="0.35">
      <c r="H90" s="90"/>
      <c r="I90" s="90"/>
    </row>
    <row r="91" spans="7:9" ht="15.75" customHeight="1" x14ac:dyDescent="0.35">
      <c r="H91" s="90"/>
      <c r="I91" s="90"/>
    </row>
    <row r="92" spans="7:9" ht="15.75" customHeight="1" x14ac:dyDescent="0.35">
      <c r="H92" s="90"/>
      <c r="I92" s="90"/>
    </row>
    <row r="93" spans="7:9" ht="15.75" customHeight="1" x14ac:dyDescent="0.35">
      <c r="H93" s="90"/>
      <c r="I93" s="90"/>
    </row>
    <row r="94" spans="7:9" ht="15.75" customHeight="1" x14ac:dyDescent="0.35">
      <c r="H94" s="90"/>
      <c r="I94" s="90"/>
    </row>
    <row r="95" spans="7:9" ht="15.75" customHeight="1" x14ac:dyDescent="0.35">
      <c r="H95" s="90"/>
      <c r="I95" s="90"/>
    </row>
    <row r="96" spans="7:9" ht="15.75" customHeight="1" x14ac:dyDescent="0.35">
      <c r="H96" s="90"/>
      <c r="I96" s="90"/>
    </row>
    <row r="97" spans="8:9" ht="15.75" customHeight="1" x14ac:dyDescent="0.35">
      <c r="H97" s="90"/>
      <c r="I97" s="90"/>
    </row>
    <row r="98" spans="8:9" ht="15.75" customHeight="1" x14ac:dyDescent="0.35">
      <c r="H98" s="90"/>
      <c r="I98" s="90"/>
    </row>
    <row r="99" spans="8:9" ht="15.75" customHeight="1" x14ac:dyDescent="0.35">
      <c r="H99" s="90"/>
      <c r="I99" s="90"/>
    </row>
    <row r="100" spans="8:9" ht="15.75" customHeight="1" x14ac:dyDescent="0.35">
      <c r="H100" s="90"/>
      <c r="I100" s="90"/>
    </row>
    <row r="101" spans="8:9" ht="15.75" customHeight="1" x14ac:dyDescent="0.35">
      <c r="H101" s="90"/>
      <c r="I101" s="90"/>
    </row>
    <row r="102" spans="8:9" ht="15.75" customHeight="1" x14ac:dyDescent="0.35">
      <c r="H102" s="90"/>
      <c r="I102" s="90"/>
    </row>
    <row r="103" spans="8:9" ht="15.75" customHeight="1" x14ac:dyDescent="0.35">
      <c r="H103" s="90"/>
      <c r="I103" s="90"/>
    </row>
    <row r="104" spans="8:9" ht="15.75" customHeight="1" x14ac:dyDescent="0.35">
      <c r="H104" s="90"/>
      <c r="I104" s="90"/>
    </row>
    <row r="105" spans="8:9" ht="15.75" customHeight="1" x14ac:dyDescent="0.35">
      <c r="H105" s="90"/>
      <c r="I105" s="90"/>
    </row>
    <row r="106" spans="8:9" ht="15.75" customHeight="1" x14ac:dyDescent="0.35">
      <c r="H106" s="90"/>
      <c r="I106" s="90"/>
    </row>
    <row r="107" spans="8:9" ht="15.75" customHeight="1" x14ac:dyDescent="0.35">
      <c r="H107" s="90"/>
      <c r="I107" s="90"/>
    </row>
    <row r="108" spans="8:9" ht="15.75" customHeight="1" x14ac:dyDescent="0.35">
      <c r="H108" s="90"/>
      <c r="I108" s="90"/>
    </row>
    <row r="109" spans="8:9" ht="15.75" customHeight="1" x14ac:dyDescent="0.35">
      <c r="H109" s="90"/>
      <c r="I109" s="90"/>
    </row>
    <row r="110" spans="8:9" ht="15.75" customHeight="1" x14ac:dyDescent="0.35">
      <c r="H110" s="90"/>
      <c r="I110" s="90"/>
    </row>
    <row r="111" spans="8:9" ht="15.75" customHeight="1" x14ac:dyDescent="0.35">
      <c r="H111" s="90"/>
      <c r="I111" s="90"/>
    </row>
    <row r="112" spans="8:9" ht="15.75" customHeight="1" x14ac:dyDescent="0.35">
      <c r="H112" s="90"/>
      <c r="I112" s="90"/>
    </row>
    <row r="113" spans="8:9" ht="15.75" customHeight="1" x14ac:dyDescent="0.35">
      <c r="H113" s="90"/>
      <c r="I113" s="90"/>
    </row>
    <row r="114" spans="8:9" ht="15.75" customHeight="1" x14ac:dyDescent="0.35">
      <c r="H114" s="90"/>
      <c r="I114" s="90"/>
    </row>
    <row r="115" spans="8:9" ht="15.75" customHeight="1" x14ac:dyDescent="0.35">
      <c r="H115" s="90"/>
      <c r="I115" s="90"/>
    </row>
    <row r="116" spans="8:9" ht="15.75" customHeight="1" x14ac:dyDescent="0.35">
      <c r="H116" s="90"/>
      <c r="I116" s="90"/>
    </row>
    <row r="117" spans="8:9" ht="15.75" customHeight="1" x14ac:dyDescent="0.35">
      <c r="H117" s="90"/>
      <c r="I117" s="90"/>
    </row>
    <row r="118" spans="8:9" ht="15.75" customHeight="1" x14ac:dyDescent="0.35">
      <c r="H118" s="90"/>
      <c r="I118" s="90"/>
    </row>
    <row r="119" spans="8:9" ht="15.75" customHeight="1" x14ac:dyDescent="0.35">
      <c r="H119" s="90"/>
      <c r="I119" s="90"/>
    </row>
    <row r="120" spans="8:9" ht="15.75" customHeight="1" x14ac:dyDescent="0.35">
      <c r="H120" s="90"/>
      <c r="I120" s="90"/>
    </row>
    <row r="121" spans="8:9" ht="15.75" customHeight="1" x14ac:dyDescent="0.35">
      <c r="H121" s="90"/>
      <c r="I121" s="90"/>
    </row>
    <row r="122" spans="8:9" ht="15.75" customHeight="1" x14ac:dyDescent="0.35">
      <c r="H122" s="90"/>
      <c r="I122" s="90"/>
    </row>
    <row r="123" spans="8:9" ht="15.75" customHeight="1" x14ac:dyDescent="0.35">
      <c r="H123" s="90"/>
      <c r="I123" s="90"/>
    </row>
    <row r="124" spans="8:9" ht="15.75" customHeight="1" x14ac:dyDescent="0.35">
      <c r="H124" s="90"/>
      <c r="I124" s="90"/>
    </row>
    <row r="125" spans="8:9" ht="15.75" customHeight="1" x14ac:dyDescent="0.35">
      <c r="H125" s="90"/>
      <c r="I125" s="90"/>
    </row>
    <row r="126" spans="8:9" ht="15.75" customHeight="1" x14ac:dyDescent="0.35">
      <c r="H126" s="90"/>
      <c r="I126" s="90"/>
    </row>
    <row r="127" spans="8:9" ht="15.75" customHeight="1" x14ac:dyDescent="0.35">
      <c r="H127" s="90"/>
      <c r="I127" s="90"/>
    </row>
    <row r="128" spans="8:9" ht="15.75" customHeight="1" x14ac:dyDescent="0.35">
      <c r="H128" s="90"/>
      <c r="I128" s="90"/>
    </row>
    <row r="129" spans="8:9" ht="15.75" customHeight="1" x14ac:dyDescent="0.35">
      <c r="H129" s="90"/>
      <c r="I129" s="90"/>
    </row>
    <row r="130" spans="8:9" ht="15.75" customHeight="1" x14ac:dyDescent="0.35">
      <c r="H130" s="90"/>
      <c r="I130" s="90"/>
    </row>
    <row r="131" spans="8:9" ht="15.75" customHeight="1" x14ac:dyDescent="0.35">
      <c r="H131" s="90"/>
      <c r="I131" s="90"/>
    </row>
    <row r="132" spans="8:9" ht="15.75" customHeight="1" x14ac:dyDescent="0.35">
      <c r="H132" s="90"/>
      <c r="I132" s="90"/>
    </row>
    <row r="133" spans="8:9" ht="15.75" customHeight="1" x14ac:dyDescent="0.35">
      <c r="H133" s="90"/>
      <c r="I133" s="90"/>
    </row>
    <row r="134" spans="8:9" ht="15.75" customHeight="1" x14ac:dyDescent="0.35">
      <c r="H134" s="90"/>
      <c r="I134" s="90"/>
    </row>
    <row r="135" spans="8:9" ht="15.75" customHeight="1" x14ac:dyDescent="0.35">
      <c r="H135" s="90"/>
      <c r="I135" s="90"/>
    </row>
    <row r="136" spans="8:9" ht="15.75" customHeight="1" x14ac:dyDescent="0.35">
      <c r="H136" s="90"/>
      <c r="I136" s="90"/>
    </row>
    <row r="137" spans="8:9" ht="15.75" customHeight="1" x14ac:dyDescent="0.35">
      <c r="H137" s="90"/>
      <c r="I137" s="90"/>
    </row>
    <row r="138" spans="8:9" ht="15.75" customHeight="1" x14ac:dyDescent="0.35">
      <c r="H138" s="90"/>
      <c r="I138" s="90"/>
    </row>
    <row r="139" spans="8:9" ht="15.75" customHeight="1" x14ac:dyDescent="0.35">
      <c r="H139" s="90"/>
      <c r="I139" s="90"/>
    </row>
    <row r="140" spans="8:9" ht="15.75" customHeight="1" x14ac:dyDescent="0.35">
      <c r="H140" s="90"/>
      <c r="I140" s="90"/>
    </row>
    <row r="141" spans="8:9" ht="15.75" customHeight="1" x14ac:dyDescent="0.35">
      <c r="H141" s="90"/>
      <c r="I141" s="90"/>
    </row>
    <row r="142" spans="8:9" ht="15.75" customHeight="1" x14ac:dyDescent="0.35">
      <c r="H142" s="90"/>
      <c r="I142" s="90"/>
    </row>
    <row r="143" spans="8:9" ht="15.75" customHeight="1" x14ac:dyDescent="0.35">
      <c r="H143" s="90"/>
      <c r="I143" s="90"/>
    </row>
    <row r="144" spans="8:9" ht="15.75" customHeight="1" x14ac:dyDescent="0.35">
      <c r="H144" s="90"/>
      <c r="I144" s="90"/>
    </row>
    <row r="145" spans="8:9" ht="15.75" customHeight="1" x14ac:dyDescent="0.35">
      <c r="H145" s="90"/>
      <c r="I145" s="90"/>
    </row>
    <row r="146" spans="8:9" ht="15.75" customHeight="1" x14ac:dyDescent="0.35">
      <c r="H146" s="90"/>
      <c r="I146" s="90"/>
    </row>
    <row r="147" spans="8:9" ht="15.75" customHeight="1" x14ac:dyDescent="0.35">
      <c r="H147" s="90"/>
      <c r="I147" s="90"/>
    </row>
    <row r="148" spans="8:9" ht="15.75" customHeight="1" x14ac:dyDescent="0.35">
      <c r="H148" s="90"/>
      <c r="I148" s="90"/>
    </row>
    <row r="149" spans="8:9" ht="15.75" customHeight="1" x14ac:dyDescent="0.35">
      <c r="H149" s="90"/>
      <c r="I149" s="90"/>
    </row>
    <row r="150" spans="8:9" ht="15.75" customHeight="1" x14ac:dyDescent="0.35">
      <c r="H150" s="90"/>
      <c r="I150" s="90"/>
    </row>
    <row r="151" spans="8:9" ht="15.75" customHeight="1" x14ac:dyDescent="0.35">
      <c r="H151" s="90"/>
      <c r="I151" s="90"/>
    </row>
    <row r="152" spans="8:9" ht="15.75" customHeight="1" x14ac:dyDescent="0.35">
      <c r="H152" s="90"/>
      <c r="I152" s="90"/>
    </row>
    <row r="153" spans="8:9" ht="15.75" customHeight="1" x14ac:dyDescent="0.35">
      <c r="H153" s="90"/>
      <c r="I153" s="90"/>
    </row>
    <row r="154" spans="8:9" ht="15.75" customHeight="1" x14ac:dyDescent="0.35">
      <c r="H154" s="90"/>
      <c r="I154" s="90"/>
    </row>
    <row r="155" spans="8:9" ht="15.75" customHeight="1" x14ac:dyDescent="0.35">
      <c r="H155" s="90"/>
      <c r="I155" s="90"/>
    </row>
    <row r="156" spans="8:9" ht="15.75" customHeight="1" x14ac:dyDescent="0.35">
      <c r="H156" s="90"/>
      <c r="I156" s="90"/>
    </row>
    <row r="157" spans="8:9" ht="15.75" customHeight="1" x14ac:dyDescent="0.35">
      <c r="H157" s="90"/>
      <c r="I157" s="90"/>
    </row>
    <row r="158" spans="8:9" ht="15.75" customHeight="1" x14ac:dyDescent="0.35">
      <c r="H158" s="90"/>
      <c r="I158" s="90"/>
    </row>
    <row r="159" spans="8:9" ht="15.75" customHeight="1" x14ac:dyDescent="0.35">
      <c r="H159" s="90"/>
      <c r="I159" s="90"/>
    </row>
    <row r="160" spans="8:9" ht="15.75" customHeight="1" x14ac:dyDescent="0.35">
      <c r="H160" s="90"/>
      <c r="I160" s="90"/>
    </row>
    <row r="161" spans="8:9" ht="15.75" customHeight="1" x14ac:dyDescent="0.35">
      <c r="H161" s="90"/>
      <c r="I161" s="90"/>
    </row>
    <row r="162" spans="8:9" ht="15.75" customHeight="1" x14ac:dyDescent="0.35">
      <c r="H162" s="90"/>
      <c r="I162" s="90"/>
    </row>
    <row r="163" spans="8:9" ht="15.75" customHeight="1" x14ac:dyDescent="0.35">
      <c r="H163" s="90"/>
      <c r="I163" s="90"/>
    </row>
    <row r="164" spans="8:9" ht="15.75" customHeight="1" x14ac:dyDescent="0.35">
      <c r="H164" s="90"/>
      <c r="I164" s="90"/>
    </row>
    <row r="165" spans="8:9" ht="15.75" customHeight="1" x14ac:dyDescent="0.35">
      <c r="H165" s="90"/>
      <c r="I165" s="90"/>
    </row>
    <row r="166" spans="8:9" ht="15.75" customHeight="1" x14ac:dyDescent="0.35">
      <c r="H166" s="90"/>
      <c r="I166" s="90"/>
    </row>
    <row r="167" spans="8:9" ht="15.75" customHeight="1" x14ac:dyDescent="0.35">
      <c r="H167" s="90"/>
      <c r="I167" s="90"/>
    </row>
    <row r="168" spans="8:9" ht="15.75" customHeight="1" x14ac:dyDescent="0.35">
      <c r="H168" s="90"/>
      <c r="I168" s="90"/>
    </row>
    <row r="169" spans="8:9" ht="15.75" customHeight="1" x14ac:dyDescent="0.35">
      <c r="H169" s="90"/>
      <c r="I169" s="90"/>
    </row>
    <row r="170" spans="8:9" ht="15.75" customHeight="1" x14ac:dyDescent="0.35">
      <c r="H170" s="90"/>
      <c r="I170" s="90"/>
    </row>
    <row r="171" spans="8:9" ht="15.75" customHeight="1" x14ac:dyDescent="0.35">
      <c r="H171" s="90"/>
      <c r="I171" s="90"/>
    </row>
    <row r="172" spans="8:9" ht="15.75" customHeight="1" x14ac:dyDescent="0.35">
      <c r="H172" s="90"/>
      <c r="I172" s="90"/>
    </row>
    <row r="173" spans="8:9" ht="15.75" customHeight="1" x14ac:dyDescent="0.35">
      <c r="H173" s="90"/>
      <c r="I173" s="90"/>
    </row>
    <row r="174" spans="8:9" ht="15.75" customHeight="1" x14ac:dyDescent="0.35">
      <c r="H174" s="90"/>
      <c r="I174" s="90"/>
    </row>
    <row r="175" spans="8:9" ht="15.75" customHeight="1" x14ac:dyDescent="0.35">
      <c r="H175" s="90"/>
      <c r="I175" s="90"/>
    </row>
    <row r="176" spans="8:9" ht="15.75" customHeight="1" x14ac:dyDescent="0.35">
      <c r="H176" s="90"/>
      <c r="I176" s="90"/>
    </row>
    <row r="177" spans="8:9" ht="15.75" customHeight="1" x14ac:dyDescent="0.35">
      <c r="H177" s="90"/>
      <c r="I177" s="90"/>
    </row>
    <row r="178" spans="8:9" ht="15.75" customHeight="1" x14ac:dyDescent="0.35">
      <c r="H178" s="90"/>
      <c r="I178" s="90"/>
    </row>
    <row r="179" spans="8:9" ht="15.75" customHeight="1" x14ac:dyDescent="0.35">
      <c r="H179" s="90"/>
      <c r="I179" s="90"/>
    </row>
    <row r="180" spans="8:9" ht="15.75" customHeight="1" x14ac:dyDescent="0.35">
      <c r="H180" s="90"/>
      <c r="I180" s="90"/>
    </row>
    <row r="181" spans="8:9" ht="15.75" customHeight="1" x14ac:dyDescent="0.35">
      <c r="H181" s="90"/>
      <c r="I181" s="90"/>
    </row>
    <row r="182" spans="8:9" ht="15.75" customHeight="1" x14ac:dyDescent="0.35">
      <c r="H182" s="90"/>
      <c r="I182" s="90"/>
    </row>
    <row r="183" spans="8:9" ht="15.75" customHeight="1" x14ac:dyDescent="0.35">
      <c r="H183" s="90"/>
      <c r="I183" s="90"/>
    </row>
    <row r="184" spans="8:9" ht="15.75" customHeight="1" x14ac:dyDescent="0.35">
      <c r="H184" s="90"/>
      <c r="I184" s="90"/>
    </row>
    <row r="185" spans="8:9" ht="15.75" customHeight="1" x14ac:dyDescent="0.35">
      <c r="H185" s="90"/>
      <c r="I185" s="90"/>
    </row>
    <row r="186" spans="8:9" ht="15.75" customHeight="1" x14ac:dyDescent="0.35">
      <c r="H186" s="90"/>
      <c r="I186" s="90"/>
    </row>
    <row r="187" spans="8:9" ht="15.75" customHeight="1" x14ac:dyDescent="0.35">
      <c r="H187" s="90"/>
      <c r="I187" s="90"/>
    </row>
    <row r="188" spans="8:9" ht="15.75" customHeight="1" x14ac:dyDescent="0.35">
      <c r="H188" s="90"/>
      <c r="I188" s="90"/>
    </row>
    <row r="189" spans="8:9" ht="15.75" customHeight="1" x14ac:dyDescent="0.35">
      <c r="H189" s="90"/>
      <c r="I189" s="90"/>
    </row>
    <row r="190" spans="8:9" ht="15.75" customHeight="1" x14ac:dyDescent="0.35">
      <c r="H190" s="90"/>
      <c r="I190" s="90"/>
    </row>
    <row r="191" spans="8:9" ht="15.75" customHeight="1" x14ac:dyDescent="0.35">
      <c r="H191" s="90"/>
      <c r="I191" s="90"/>
    </row>
    <row r="192" spans="8:9" ht="15.75" customHeight="1" x14ac:dyDescent="0.35">
      <c r="H192" s="90"/>
      <c r="I192" s="90"/>
    </row>
    <row r="193" spans="8:9" ht="15.75" customHeight="1" x14ac:dyDescent="0.35">
      <c r="H193" s="90"/>
      <c r="I193" s="90"/>
    </row>
    <row r="194" spans="8:9" ht="15.75" customHeight="1" x14ac:dyDescent="0.35">
      <c r="H194" s="90"/>
      <c r="I194" s="90"/>
    </row>
    <row r="195" spans="8:9" ht="15.75" customHeight="1" x14ac:dyDescent="0.35">
      <c r="H195" s="90"/>
      <c r="I195" s="90"/>
    </row>
    <row r="196" spans="8:9" ht="15.75" customHeight="1" x14ac:dyDescent="0.35">
      <c r="H196" s="90"/>
      <c r="I196" s="90"/>
    </row>
    <row r="197" spans="8:9" ht="15.75" customHeight="1" x14ac:dyDescent="0.35">
      <c r="H197" s="90"/>
      <c r="I197" s="90"/>
    </row>
    <row r="198" spans="8:9" ht="15.75" customHeight="1" x14ac:dyDescent="0.35">
      <c r="H198" s="90"/>
      <c r="I198" s="90"/>
    </row>
    <row r="199" spans="8:9" ht="15.75" customHeight="1" x14ac:dyDescent="0.35">
      <c r="H199" s="90"/>
      <c r="I199" s="90"/>
    </row>
    <row r="200" spans="8:9" ht="15.75" customHeight="1" x14ac:dyDescent="0.35">
      <c r="H200" s="90"/>
      <c r="I200" s="90"/>
    </row>
    <row r="201" spans="8:9" ht="15.75" customHeight="1" x14ac:dyDescent="0.35">
      <c r="H201" s="90"/>
      <c r="I201" s="90"/>
    </row>
    <row r="202" spans="8:9" ht="15.75" customHeight="1" x14ac:dyDescent="0.35">
      <c r="H202" s="90"/>
      <c r="I202" s="90"/>
    </row>
    <row r="203" spans="8:9" ht="15.75" customHeight="1" x14ac:dyDescent="0.35">
      <c r="H203" s="90"/>
      <c r="I203" s="90"/>
    </row>
    <row r="204" spans="8:9" ht="15.75" customHeight="1" x14ac:dyDescent="0.35">
      <c r="H204" s="90"/>
      <c r="I204" s="90"/>
    </row>
    <row r="205" spans="8:9" ht="15.75" customHeight="1" x14ac:dyDescent="0.35">
      <c r="H205" s="90"/>
      <c r="I205" s="90"/>
    </row>
    <row r="206" spans="8:9" ht="15.75" customHeight="1" x14ac:dyDescent="0.35">
      <c r="H206" s="90"/>
      <c r="I206" s="90"/>
    </row>
    <row r="207" spans="8:9" ht="15.75" customHeight="1" x14ac:dyDescent="0.35">
      <c r="H207" s="90"/>
      <c r="I207" s="90"/>
    </row>
    <row r="208" spans="8:9" ht="15.75" customHeight="1" x14ac:dyDescent="0.35">
      <c r="H208" s="90"/>
      <c r="I208" s="90"/>
    </row>
    <row r="209" spans="8:9" ht="15.75" customHeight="1" x14ac:dyDescent="0.35">
      <c r="H209" s="90"/>
      <c r="I209" s="90"/>
    </row>
    <row r="210" spans="8:9" ht="15.75" customHeight="1" x14ac:dyDescent="0.35">
      <c r="H210" s="90"/>
      <c r="I210" s="90"/>
    </row>
    <row r="211" spans="8:9" ht="15.75" customHeight="1" x14ac:dyDescent="0.35">
      <c r="H211" s="90"/>
      <c r="I211" s="90"/>
    </row>
    <row r="212" spans="8:9" ht="15.75" customHeight="1" x14ac:dyDescent="0.35">
      <c r="H212" s="90"/>
      <c r="I212" s="90"/>
    </row>
    <row r="213" spans="8:9" ht="15.75" customHeight="1" x14ac:dyDescent="0.35">
      <c r="H213" s="90"/>
      <c r="I213" s="90"/>
    </row>
    <row r="214" spans="8:9" ht="15.75" customHeight="1" x14ac:dyDescent="0.35">
      <c r="H214" s="90"/>
      <c r="I214" s="90"/>
    </row>
    <row r="215" spans="8:9" ht="15.75" customHeight="1" x14ac:dyDescent="0.35">
      <c r="H215" s="90"/>
      <c r="I215" s="90"/>
    </row>
    <row r="216" spans="8:9" ht="15.75" customHeight="1" x14ac:dyDescent="0.35">
      <c r="H216" s="90"/>
      <c r="I216" s="90"/>
    </row>
    <row r="217" spans="8:9" ht="15.75" customHeight="1" x14ac:dyDescent="0.35">
      <c r="H217" s="90"/>
      <c r="I217" s="90"/>
    </row>
    <row r="218" spans="8:9" ht="15.75" customHeight="1" x14ac:dyDescent="0.35">
      <c r="H218" s="90"/>
      <c r="I218" s="90"/>
    </row>
    <row r="219" spans="8:9" ht="15.75" customHeight="1" x14ac:dyDescent="0.35">
      <c r="H219" s="90"/>
      <c r="I219" s="90"/>
    </row>
    <row r="220" spans="8:9" ht="15.75" customHeight="1" x14ac:dyDescent="0.35">
      <c r="H220" s="90"/>
      <c r="I220" s="90"/>
    </row>
    <row r="221" spans="8:9" ht="15.75" customHeight="1" x14ac:dyDescent="0.35">
      <c r="H221" s="90"/>
      <c r="I221" s="90"/>
    </row>
    <row r="222" spans="8:9" ht="15.75" customHeight="1" x14ac:dyDescent="0.35">
      <c r="H222" s="90"/>
      <c r="I222" s="90"/>
    </row>
    <row r="223" spans="8:9" ht="15.75" customHeight="1" x14ac:dyDescent="0.35">
      <c r="H223" s="90"/>
      <c r="I223" s="90"/>
    </row>
    <row r="224" spans="8:9" ht="15.75" customHeight="1" x14ac:dyDescent="0.35">
      <c r="H224" s="90"/>
      <c r="I224" s="90"/>
    </row>
    <row r="225" spans="8:9" ht="15.75" customHeight="1" x14ac:dyDescent="0.35">
      <c r="H225" s="90"/>
      <c r="I225" s="90"/>
    </row>
    <row r="226" spans="8:9" ht="15.75" customHeight="1" x14ac:dyDescent="0.35">
      <c r="H226" s="90"/>
      <c r="I226" s="90"/>
    </row>
    <row r="227" spans="8:9" ht="15.75" customHeight="1" x14ac:dyDescent="0.35">
      <c r="H227" s="90"/>
      <c r="I227" s="90"/>
    </row>
    <row r="228" spans="8:9" ht="15.75" customHeight="1" x14ac:dyDescent="0.35">
      <c r="H228" s="90"/>
      <c r="I228" s="90"/>
    </row>
    <row r="229" spans="8:9" ht="15.75" customHeight="1" x14ac:dyDescent="0.35">
      <c r="H229" s="90"/>
      <c r="I229" s="90"/>
    </row>
    <row r="230" spans="8:9" ht="15.75" customHeight="1" x14ac:dyDescent="0.35">
      <c r="H230" s="90"/>
      <c r="I230" s="90"/>
    </row>
    <row r="231" spans="8:9" ht="15.75" customHeight="1" x14ac:dyDescent="0.35">
      <c r="H231" s="90"/>
      <c r="I231" s="90"/>
    </row>
    <row r="232" spans="8:9" ht="15.75" customHeight="1" x14ac:dyDescent="0.35">
      <c r="H232" s="90"/>
      <c r="I232" s="90"/>
    </row>
    <row r="233" spans="8:9" ht="15.75" customHeight="1" x14ac:dyDescent="0.35">
      <c r="H233" s="90"/>
      <c r="I233" s="90"/>
    </row>
    <row r="234" spans="8:9" ht="15.75" customHeight="1" x14ac:dyDescent="0.35">
      <c r="H234" s="90"/>
      <c r="I234" s="90"/>
    </row>
    <row r="235" spans="8:9" ht="15.75" customHeight="1" x14ac:dyDescent="0.35">
      <c r="H235" s="90"/>
      <c r="I235" s="90"/>
    </row>
    <row r="236" spans="8:9" ht="15.75" customHeight="1" x14ac:dyDescent="0.35">
      <c r="H236" s="90"/>
      <c r="I236" s="90"/>
    </row>
    <row r="237" spans="8:9" ht="15.75" customHeight="1" x14ac:dyDescent="0.35">
      <c r="H237" s="90"/>
      <c r="I237" s="90"/>
    </row>
    <row r="238" spans="8:9" ht="15.75" customHeight="1" x14ac:dyDescent="0.35">
      <c r="H238" s="90"/>
      <c r="I238" s="90"/>
    </row>
    <row r="239" spans="8:9" ht="15.75" customHeight="1" x14ac:dyDescent="0.35">
      <c r="H239" s="90"/>
      <c r="I239" s="90"/>
    </row>
    <row r="240" spans="8:9" ht="15.75" customHeight="1" x14ac:dyDescent="0.35">
      <c r="H240" s="90"/>
      <c r="I240" s="90"/>
    </row>
    <row r="241" spans="8:9" ht="15.75" customHeight="1" x14ac:dyDescent="0.35">
      <c r="H241" s="90"/>
      <c r="I241" s="90"/>
    </row>
    <row r="242" spans="8:9" ht="15.75" customHeight="1" x14ac:dyDescent="0.35">
      <c r="H242" s="90"/>
      <c r="I242" s="90"/>
    </row>
    <row r="243" spans="8:9" ht="15.75" customHeight="1" x14ac:dyDescent="0.35">
      <c r="H243" s="90"/>
      <c r="I243" s="90"/>
    </row>
    <row r="244" spans="8:9" ht="15.75" customHeight="1" x14ac:dyDescent="0.35">
      <c r="H244" s="90"/>
      <c r="I244" s="90"/>
    </row>
    <row r="245" spans="8:9" ht="15.75" customHeight="1" x14ac:dyDescent="0.35">
      <c r="H245" s="90"/>
      <c r="I245" s="90"/>
    </row>
    <row r="246" spans="8:9" ht="15.75" customHeight="1" x14ac:dyDescent="0.35">
      <c r="H246" s="90"/>
      <c r="I246" s="90"/>
    </row>
    <row r="247" spans="8:9" ht="15.75" customHeight="1" x14ac:dyDescent="0.35">
      <c r="H247" s="90"/>
      <c r="I247" s="90"/>
    </row>
    <row r="248" spans="8:9" ht="15.75" customHeight="1" x14ac:dyDescent="0.35">
      <c r="H248" s="90"/>
      <c r="I248" s="90"/>
    </row>
    <row r="249" spans="8:9" ht="15.75" customHeight="1" x14ac:dyDescent="0.35">
      <c r="H249" s="90"/>
      <c r="I249" s="90"/>
    </row>
    <row r="250" spans="8:9" ht="15.75" customHeight="1" x14ac:dyDescent="0.35">
      <c r="H250" s="90"/>
      <c r="I250" s="90"/>
    </row>
    <row r="251" spans="8:9" ht="15.75" customHeight="1" x14ac:dyDescent="0.35">
      <c r="H251" s="90"/>
      <c r="I251" s="90"/>
    </row>
    <row r="252" spans="8:9" ht="15.75" customHeight="1" x14ac:dyDescent="0.35">
      <c r="H252" s="90"/>
      <c r="I252" s="90"/>
    </row>
    <row r="253" spans="8:9" ht="15.75" customHeight="1" x14ac:dyDescent="0.35">
      <c r="H253" s="90"/>
      <c r="I253" s="90"/>
    </row>
    <row r="254" spans="8:9" ht="15.75" customHeight="1" x14ac:dyDescent="0.35">
      <c r="H254" s="90"/>
      <c r="I254" s="90"/>
    </row>
    <row r="255" spans="8:9" ht="15.75" customHeight="1" x14ac:dyDescent="0.35">
      <c r="H255" s="90"/>
      <c r="I255" s="90"/>
    </row>
    <row r="256" spans="8:9" ht="15.75" customHeight="1" x14ac:dyDescent="0.35">
      <c r="H256" s="90"/>
      <c r="I256" s="90"/>
    </row>
    <row r="257" spans="8:9" ht="15.75" customHeight="1" x14ac:dyDescent="0.35">
      <c r="H257" s="90"/>
      <c r="I257" s="90"/>
    </row>
    <row r="258" spans="8:9" ht="15.75" customHeight="1" x14ac:dyDescent="0.35">
      <c r="H258" s="90"/>
      <c r="I258" s="90"/>
    </row>
    <row r="259" spans="8:9" ht="15.75" customHeight="1" x14ac:dyDescent="0.35">
      <c r="H259" s="90"/>
      <c r="I259" s="90"/>
    </row>
    <row r="260" spans="8:9" ht="15.75" customHeight="1" x14ac:dyDescent="0.35">
      <c r="H260" s="90"/>
      <c r="I260" s="90"/>
    </row>
    <row r="261" spans="8:9" ht="15.75" customHeight="1" x14ac:dyDescent="0.35">
      <c r="H261" s="90"/>
      <c r="I261" s="90"/>
    </row>
    <row r="262" spans="8:9" ht="15.75" customHeight="1" x14ac:dyDescent="0.35">
      <c r="H262" s="90"/>
      <c r="I262" s="90"/>
    </row>
    <row r="263" spans="8:9" ht="15.75" customHeight="1" x14ac:dyDescent="0.35">
      <c r="H263" s="90"/>
      <c r="I263" s="90"/>
    </row>
    <row r="264" spans="8:9" ht="15.75" customHeight="1" x14ac:dyDescent="0.35">
      <c r="H264" s="90"/>
      <c r="I264" s="90"/>
    </row>
    <row r="265" spans="8:9" ht="15.75" customHeight="1" x14ac:dyDescent="0.35">
      <c r="H265" s="90"/>
      <c r="I265" s="90"/>
    </row>
    <row r="266" spans="8:9" ht="15.75" customHeight="1" x14ac:dyDescent="0.35">
      <c r="H266" s="90"/>
      <c r="I266" s="90"/>
    </row>
    <row r="267" spans="8:9" ht="15.75" customHeight="1" x14ac:dyDescent="0.35">
      <c r="H267" s="90"/>
      <c r="I267" s="90"/>
    </row>
    <row r="268" spans="8:9" ht="15.75" customHeight="1" x14ac:dyDescent="0.35">
      <c r="H268" s="90"/>
      <c r="I268" s="90"/>
    </row>
    <row r="269" spans="8:9" ht="15.75" customHeight="1" x14ac:dyDescent="0.35">
      <c r="H269" s="90"/>
      <c r="I269" s="90"/>
    </row>
    <row r="270" spans="8:9" ht="15.75" customHeight="1" x14ac:dyDescent="0.35">
      <c r="H270" s="90"/>
      <c r="I270" s="90"/>
    </row>
    <row r="271" spans="8:9" ht="15.75" customHeight="1" x14ac:dyDescent="0.35">
      <c r="H271" s="90"/>
      <c r="I271" s="90"/>
    </row>
    <row r="272" spans="8:9" ht="15.75" customHeight="1" x14ac:dyDescent="0.35">
      <c r="H272" s="90"/>
      <c r="I272" s="90"/>
    </row>
    <row r="273" spans="8:9" ht="15.75" customHeight="1" x14ac:dyDescent="0.35">
      <c r="H273" s="90"/>
      <c r="I273" s="90"/>
    </row>
    <row r="274" spans="8:9" ht="15.75" customHeight="1" x14ac:dyDescent="0.35">
      <c r="H274" s="90"/>
      <c r="I274" s="90"/>
    </row>
    <row r="275" spans="8:9" ht="15.75" customHeight="1" x14ac:dyDescent="0.35">
      <c r="H275" s="90"/>
      <c r="I275" s="90"/>
    </row>
    <row r="276" spans="8:9" ht="15.75" customHeight="1" x14ac:dyDescent="0.35">
      <c r="H276" s="90"/>
      <c r="I276" s="90"/>
    </row>
    <row r="277" spans="8:9" ht="15.75" customHeight="1" x14ac:dyDescent="0.35">
      <c r="H277" s="90"/>
      <c r="I277" s="90"/>
    </row>
    <row r="278" spans="8:9" ht="15.75" customHeight="1" x14ac:dyDescent="0.35">
      <c r="H278" s="90"/>
      <c r="I278" s="90"/>
    </row>
    <row r="279" spans="8:9" ht="15.75" customHeight="1" x14ac:dyDescent="0.35">
      <c r="H279" s="90"/>
      <c r="I279" s="90"/>
    </row>
    <row r="280" spans="8:9" ht="15.75" customHeight="1" x14ac:dyDescent="0.35">
      <c r="H280" s="90"/>
      <c r="I280" s="90"/>
    </row>
    <row r="281" spans="8:9" ht="15.75" customHeight="1" x14ac:dyDescent="0.35">
      <c r="H281" s="90"/>
      <c r="I281" s="90"/>
    </row>
    <row r="282" spans="8:9" ht="15.75" customHeight="1" x14ac:dyDescent="0.35">
      <c r="H282" s="90"/>
      <c r="I282" s="90"/>
    </row>
    <row r="283" spans="8:9" ht="15.75" customHeight="1" x14ac:dyDescent="0.35">
      <c r="H283" s="90"/>
      <c r="I283" s="90"/>
    </row>
    <row r="284" spans="8:9" ht="15.75" customHeight="1" x14ac:dyDescent="0.35">
      <c r="H284" s="90"/>
      <c r="I284" s="90"/>
    </row>
    <row r="285" spans="8:9" ht="15.75" customHeight="1" x14ac:dyDescent="0.35">
      <c r="H285" s="90"/>
      <c r="I285" s="90"/>
    </row>
    <row r="286" spans="8:9" ht="15.75" customHeight="1" x14ac:dyDescent="0.35">
      <c r="H286" s="90"/>
      <c r="I286" s="90"/>
    </row>
    <row r="287" spans="8:9" ht="15.75" customHeight="1" x14ac:dyDescent="0.35">
      <c r="H287" s="90"/>
      <c r="I287" s="90"/>
    </row>
    <row r="288" spans="8:9" ht="15.75" customHeight="1" x14ac:dyDescent="0.35">
      <c r="H288" s="90"/>
      <c r="I288" s="90"/>
    </row>
    <row r="289" spans="8:9" ht="15.75" customHeight="1" x14ac:dyDescent="0.35">
      <c r="H289" s="90"/>
      <c r="I289" s="90"/>
    </row>
    <row r="290" spans="8:9" ht="15.75" customHeight="1" x14ac:dyDescent="0.35">
      <c r="H290" s="90"/>
      <c r="I290" s="90"/>
    </row>
    <row r="291" spans="8:9" ht="15.75" customHeight="1" x14ac:dyDescent="0.35">
      <c r="H291" s="90"/>
      <c r="I291" s="90"/>
    </row>
    <row r="292" spans="8:9" ht="15.75" customHeight="1" x14ac:dyDescent="0.35">
      <c r="H292" s="90"/>
      <c r="I292" s="90"/>
    </row>
    <row r="293" spans="8:9" ht="15.75" customHeight="1" x14ac:dyDescent="0.35">
      <c r="H293" s="90"/>
      <c r="I293" s="90"/>
    </row>
    <row r="294" spans="8:9" ht="15.75" customHeight="1" x14ac:dyDescent="0.35">
      <c r="H294" s="90"/>
      <c r="I294" s="90"/>
    </row>
    <row r="295" spans="8:9" ht="15.75" customHeight="1" x14ac:dyDescent="0.35">
      <c r="H295" s="90"/>
      <c r="I295" s="90"/>
    </row>
    <row r="296" spans="8:9" ht="15.75" customHeight="1" x14ac:dyDescent="0.35">
      <c r="H296" s="90"/>
      <c r="I296" s="90"/>
    </row>
    <row r="297" spans="8:9" ht="15.75" customHeight="1" x14ac:dyDescent="0.35">
      <c r="H297" s="90"/>
      <c r="I297" s="90"/>
    </row>
    <row r="298" spans="8:9" ht="15.75" customHeight="1" x14ac:dyDescent="0.35">
      <c r="H298" s="90"/>
      <c r="I298" s="90"/>
    </row>
    <row r="299" spans="8:9" ht="15.75" customHeight="1" x14ac:dyDescent="0.35">
      <c r="H299" s="90"/>
      <c r="I299" s="90"/>
    </row>
    <row r="300" spans="8:9" ht="15.75" customHeight="1" x14ac:dyDescent="0.35">
      <c r="H300" s="90"/>
      <c r="I300" s="90"/>
    </row>
    <row r="301" spans="8:9" ht="15.75" customHeight="1" x14ac:dyDescent="0.35">
      <c r="H301" s="90"/>
      <c r="I301" s="90"/>
    </row>
    <row r="302" spans="8:9" ht="15.75" customHeight="1" x14ac:dyDescent="0.35">
      <c r="H302" s="90"/>
      <c r="I302" s="90"/>
    </row>
    <row r="303" spans="8:9" ht="15.75" customHeight="1" x14ac:dyDescent="0.35">
      <c r="H303" s="90"/>
      <c r="I303" s="90"/>
    </row>
    <row r="304" spans="8:9" ht="15.75" customHeight="1" x14ac:dyDescent="0.35">
      <c r="H304" s="90"/>
      <c r="I304" s="90"/>
    </row>
    <row r="305" spans="8:9" ht="15.75" customHeight="1" x14ac:dyDescent="0.35">
      <c r="H305" s="90"/>
      <c r="I305" s="90"/>
    </row>
    <row r="306" spans="8:9" ht="15.75" customHeight="1" x14ac:dyDescent="0.35">
      <c r="H306" s="90"/>
      <c r="I306" s="90"/>
    </row>
    <row r="307" spans="8:9" ht="15.75" customHeight="1" x14ac:dyDescent="0.35">
      <c r="H307" s="90"/>
      <c r="I307" s="90"/>
    </row>
    <row r="308" spans="8:9" ht="15.75" customHeight="1" x14ac:dyDescent="0.35">
      <c r="H308" s="90"/>
      <c r="I308" s="90"/>
    </row>
    <row r="309" spans="8:9" ht="15.75" customHeight="1" x14ac:dyDescent="0.35">
      <c r="H309" s="90"/>
      <c r="I309" s="90"/>
    </row>
    <row r="310" spans="8:9" ht="15.75" customHeight="1" x14ac:dyDescent="0.35">
      <c r="H310" s="90"/>
      <c r="I310" s="90"/>
    </row>
    <row r="311" spans="8:9" ht="15.75" customHeight="1" x14ac:dyDescent="0.35">
      <c r="H311" s="90"/>
      <c r="I311" s="90"/>
    </row>
    <row r="312" spans="8:9" ht="15.75" customHeight="1" x14ac:dyDescent="0.35">
      <c r="H312" s="90"/>
      <c r="I312" s="90"/>
    </row>
    <row r="313" spans="8:9" ht="15.75" customHeight="1" x14ac:dyDescent="0.35">
      <c r="H313" s="90"/>
      <c r="I313" s="90"/>
    </row>
    <row r="314" spans="8:9" ht="15.75" customHeight="1" x14ac:dyDescent="0.35">
      <c r="H314" s="90"/>
      <c r="I314" s="90"/>
    </row>
    <row r="315" spans="8:9" ht="15.75" customHeight="1" x14ac:dyDescent="0.35">
      <c r="H315" s="90"/>
      <c r="I315" s="90"/>
    </row>
    <row r="316" spans="8:9" ht="15.75" customHeight="1" x14ac:dyDescent="0.35">
      <c r="H316" s="90"/>
      <c r="I316" s="90"/>
    </row>
    <row r="317" spans="8:9" ht="15.75" customHeight="1" x14ac:dyDescent="0.35">
      <c r="H317" s="90"/>
      <c r="I317" s="90"/>
    </row>
    <row r="318" spans="8:9" ht="15.75" customHeight="1" x14ac:dyDescent="0.35">
      <c r="H318" s="90"/>
      <c r="I318" s="90"/>
    </row>
    <row r="319" spans="8:9" ht="15.75" customHeight="1" x14ac:dyDescent="0.35">
      <c r="H319" s="90"/>
      <c r="I319" s="90"/>
    </row>
    <row r="320" spans="8:9" ht="15.75" customHeight="1" x14ac:dyDescent="0.35">
      <c r="H320" s="90"/>
      <c r="I320" s="90"/>
    </row>
    <row r="321" spans="8:9" ht="15.75" customHeight="1" x14ac:dyDescent="0.35">
      <c r="H321" s="90"/>
      <c r="I321" s="90"/>
    </row>
    <row r="322" spans="8:9" ht="15.75" customHeight="1" x14ac:dyDescent="0.35">
      <c r="H322" s="90"/>
      <c r="I322" s="90"/>
    </row>
    <row r="323" spans="8:9" ht="15.75" customHeight="1" x14ac:dyDescent="0.35">
      <c r="H323" s="90"/>
      <c r="I323" s="90"/>
    </row>
    <row r="324" spans="8:9" ht="15.75" customHeight="1" x14ac:dyDescent="0.35">
      <c r="H324" s="90"/>
      <c r="I324" s="90"/>
    </row>
    <row r="325" spans="8:9" ht="15.75" customHeight="1" x14ac:dyDescent="0.35">
      <c r="H325" s="90"/>
      <c r="I325" s="90"/>
    </row>
    <row r="326" spans="8:9" ht="15.75" customHeight="1" x14ac:dyDescent="0.35">
      <c r="H326" s="90"/>
      <c r="I326" s="90"/>
    </row>
    <row r="327" spans="8:9" ht="15.75" customHeight="1" x14ac:dyDescent="0.35">
      <c r="H327" s="90"/>
      <c r="I327" s="90"/>
    </row>
    <row r="328" spans="8:9" ht="15.75" customHeight="1" x14ac:dyDescent="0.35">
      <c r="H328" s="90"/>
      <c r="I328" s="90"/>
    </row>
    <row r="329" spans="8:9" ht="15.75" customHeight="1" x14ac:dyDescent="0.35">
      <c r="H329" s="90"/>
      <c r="I329" s="90"/>
    </row>
    <row r="330" spans="8:9" ht="15.75" customHeight="1" x14ac:dyDescent="0.35">
      <c r="H330" s="90"/>
      <c r="I330" s="90"/>
    </row>
    <row r="331" spans="8:9" ht="15.75" customHeight="1" x14ac:dyDescent="0.35">
      <c r="H331" s="90"/>
      <c r="I331" s="90"/>
    </row>
    <row r="332" spans="8:9" ht="15.75" customHeight="1" x14ac:dyDescent="0.35">
      <c r="H332" s="90"/>
      <c r="I332" s="90"/>
    </row>
    <row r="333" spans="8:9" ht="15.75" customHeight="1" x14ac:dyDescent="0.35">
      <c r="H333" s="90"/>
      <c r="I333" s="90"/>
    </row>
    <row r="334" spans="8:9" ht="15.75" customHeight="1" x14ac:dyDescent="0.35">
      <c r="H334" s="90"/>
      <c r="I334" s="90"/>
    </row>
    <row r="335" spans="8:9" ht="15.75" customHeight="1" x14ac:dyDescent="0.35">
      <c r="H335" s="90"/>
      <c r="I335" s="90"/>
    </row>
    <row r="336" spans="8:9" ht="15.75" customHeight="1" x14ac:dyDescent="0.35">
      <c r="H336" s="90"/>
      <c r="I336" s="90"/>
    </row>
    <row r="337" spans="8:9" ht="15.75" customHeight="1" x14ac:dyDescent="0.35">
      <c r="H337" s="90"/>
      <c r="I337" s="90"/>
    </row>
    <row r="338" spans="8:9" ht="15.75" customHeight="1" x14ac:dyDescent="0.35">
      <c r="H338" s="90"/>
      <c r="I338" s="90"/>
    </row>
    <row r="339" spans="8:9" ht="15.75" customHeight="1" x14ac:dyDescent="0.35">
      <c r="H339" s="90"/>
      <c r="I339" s="90"/>
    </row>
    <row r="340" spans="8:9" ht="15.75" customHeight="1" x14ac:dyDescent="0.35">
      <c r="H340" s="90"/>
      <c r="I340" s="90"/>
    </row>
    <row r="341" spans="8:9" ht="15.75" customHeight="1" x14ac:dyDescent="0.35">
      <c r="H341" s="90"/>
      <c r="I341" s="90"/>
    </row>
    <row r="342" spans="8:9" ht="15.75" customHeight="1" x14ac:dyDescent="0.35">
      <c r="H342" s="90"/>
      <c r="I342" s="90"/>
    </row>
    <row r="343" spans="8:9" ht="15.75" customHeight="1" x14ac:dyDescent="0.35">
      <c r="H343" s="90"/>
      <c r="I343" s="90"/>
    </row>
    <row r="344" spans="8:9" ht="15.75" customHeight="1" x14ac:dyDescent="0.35">
      <c r="H344" s="90"/>
      <c r="I344" s="90"/>
    </row>
    <row r="345" spans="8:9" ht="15.75" customHeight="1" x14ac:dyDescent="0.35">
      <c r="H345" s="90"/>
      <c r="I345" s="90"/>
    </row>
    <row r="346" spans="8:9" ht="15.75" customHeight="1" x14ac:dyDescent="0.35">
      <c r="H346" s="90"/>
      <c r="I346" s="90"/>
    </row>
    <row r="347" spans="8:9" ht="15.75" customHeight="1" x14ac:dyDescent="0.35">
      <c r="H347" s="90"/>
      <c r="I347" s="90"/>
    </row>
    <row r="348" spans="8:9" ht="15.75" customHeight="1" x14ac:dyDescent="0.35">
      <c r="H348" s="90"/>
      <c r="I348" s="90"/>
    </row>
    <row r="349" spans="8:9" ht="15.75" customHeight="1" x14ac:dyDescent="0.35">
      <c r="H349" s="90"/>
      <c r="I349" s="90"/>
    </row>
    <row r="350" spans="8:9" ht="15.75" customHeight="1" x14ac:dyDescent="0.35">
      <c r="H350" s="90"/>
      <c r="I350" s="90"/>
    </row>
    <row r="351" spans="8:9" ht="15.75" customHeight="1" x14ac:dyDescent="0.35">
      <c r="H351" s="90"/>
      <c r="I351" s="90"/>
    </row>
    <row r="352" spans="8:9" ht="15.75" customHeight="1" x14ac:dyDescent="0.35">
      <c r="H352" s="90"/>
      <c r="I352" s="90"/>
    </row>
    <row r="353" spans="8:9" ht="15.75" customHeight="1" x14ac:dyDescent="0.35">
      <c r="H353" s="90"/>
      <c r="I353" s="90"/>
    </row>
    <row r="354" spans="8:9" ht="15.75" customHeight="1" x14ac:dyDescent="0.35">
      <c r="H354" s="90"/>
      <c r="I354" s="90"/>
    </row>
    <row r="355" spans="8:9" ht="15.75" customHeight="1" x14ac:dyDescent="0.35">
      <c r="H355" s="90"/>
      <c r="I355" s="90"/>
    </row>
    <row r="356" spans="8:9" ht="15.75" customHeight="1" x14ac:dyDescent="0.35">
      <c r="H356" s="90"/>
      <c r="I356" s="90"/>
    </row>
    <row r="357" spans="8:9" ht="15.75" customHeight="1" x14ac:dyDescent="0.35">
      <c r="H357" s="90"/>
      <c r="I357" s="90"/>
    </row>
    <row r="358" spans="8:9" ht="15.75" customHeight="1" x14ac:dyDescent="0.35">
      <c r="H358" s="90"/>
      <c r="I358" s="90"/>
    </row>
    <row r="359" spans="8:9" ht="15.75" customHeight="1" x14ac:dyDescent="0.35">
      <c r="H359" s="90"/>
      <c r="I359" s="90"/>
    </row>
    <row r="360" spans="8:9" ht="15.75" customHeight="1" x14ac:dyDescent="0.35">
      <c r="H360" s="90"/>
      <c r="I360" s="90"/>
    </row>
    <row r="361" spans="8:9" ht="15.75" customHeight="1" x14ac:dyDescent="0.35">
      <c r="H361" s="90"/>
      <c r="I361" s="90"/>
    </row>
    <row r="362" spans="8:9" ht="15.75" customHeight="1" x14ac:dyDescent="0.35">
      <c r="H362" s="90"/>
      <c r="I362" s="90"/>
    </row>
    <row r="363" spans="8:9" ht="15.75" customHeight="1" x14ac:dyDescent="0.35">
      <c r="H363" s="90"/>
      <c r="I363" s="90"/>
    </row>
    <row r="364" spans="8:9" ht="15.75" customHeight="1" x14ac:dyDescent="0.35">
      <c r="H364" s="90"/>
      <c r="I364" s="90"/>
    </row>
    <row r="365" spans="8:9" ht="15.75" customHeight="1" x14ac:dyDescent="0.35">
      <c r="H365" s="90"/>
      <c r="I365" s="90"/>
    </row>
    <row r="366" spans="8:9" ht="15.75" customHeight="1" x14ac:dyDescent="0.35">
      <c r="H366" s="90"/>
      <c r="I366" s="90"/>
    </row>
    <row r="367" spans="8:9" ht="15.75" customHeight="1" x14ac:dyDescent="0.35">
      <c r="H367" s="90"/>
      <c r="I367" s="90"/>
    </row>
    <row r="368" spans="8:9" ht="15.75" customHeight="1" x14ac:dyDescent="0.35">
      <c r="H368" s="90"/>
      <c r="I368" s="90"/>
    </row>
    <row r="369" spans="8:9" ht="15.75" customHeight="1" x14ac:dyDescent="0.35">
      <c r="H369" s="90"/>
      <c r="I369" s="90"/>
    </row>
    <row r="370" spans="8:9" ht="15.75" customHeight="1" x14ac:dyDescent="0.35">
      <c r="H370" s="90"/>
      <c r="I370" s="90"/>
    </row>
    <row r="371" spans="8:9" ht="15.75" customHeight="1" x14ac:dyDescent="0.35">
      <c r="H371" s="90"/>
      <c r="I371" s="90"/>
    </row>
    <row r="372" spans="8:9" ht="15.75" customHeight="1" x14ac:dyDescent="0.35">
      <c r="H372" s="90"/>
      <c r="I372" s="90"/>
    </row>
    <row r="373" spans="8:9" ht="15.75" customHeight="1" x14ac:dyDescent="0.35">
      <c r="H373" s="90"/>
      <c r="I373" s="90"/>
    </row>
    <row r="374" spans="8:9" ht="15.75" customHeight="1" x14ac:dyDescent="0.35">
      <c r="H374" s="90"/>
      <c r="I374" s="90"/>
    </row>
    <row r="375" spans="8:9" ht="15.75" customHeight="1" x14ac:dyDescent="0.35">
      <c r="H375" s="90"/>
      <c r="I375" s="90"/>
    </row>
    <row r="376" spans="8:9" ht="15.75" customHeight="1" x14ac:dyDescent="0.35">
      <c r="H376" s="90"/>
      <c r="I376" s="90"/>
    </row>
    <row r="377" spans="8:9" ht="15.75" customHeight="1" x14ac:dyDescent="0.35">
      <c r="H377" s="90"/>
      <c r="I377" s="90"/>
    </row>
    <row r="378" spans="8:9" ht="15.75" customHeight="1" x14ac:dyDescent="0.35">
      <c r="H378" s="90"/>
      <c r="I378" s="90"/>
    </row>
    <row r="379" spans="8:9" ht="15.75" customHeight="1" x14ac:dyDescent="0.35">
      <c r="H379" s="90"/>
      <c r="I379" s="90"/>
    </row>
    <row r="380" spans="8:9" ht="15.75" customHeight="1" x14ac:dyDescent="0.35">
      <c r="H380" s="90"/>
      <c r="I380" s="90"/>
    </row>
    <row r="381" spans="8:9" ht="15.75" customHeight="1" x14ac:dyDescent="0.35">
      <c r="H381" s="90"/>
      <c r="I381" s="90"/>
    </row>
    <row r="382" spans="8:9" ht="15.75" customHeight="1" x14ac:dyDescent="0.35">
      <c r="H382" s="90"/>
      <c r="I382" s="90"/>
    </row>
    <row r="383" spans="8:9" ht="15.75" customHeight="1" x14ac:dyDescent="0.35">
      <c r="H383" s="90"/>
      <c r="I383" s="90"/>
    </row>
    <row r="384" spans="8:9" ht="15.75" customHeight="1" x14ac:dyDescent="0.35">
      <c r="H384" s="90"/>
      <c r="I384" s="90"/>
    </row>
    <row r="385" spans="8:9" ht="15.75" customHeight="1" x14ac:dyDescent="0.35">
      <c r="H385" s="90"/>
      <c r="I385" s="90"/>
    </row>
    <row r="386" spans="8:9" ht="15.75" customHeight="1" x14ac:dyDescent="0.35">
      <c r="H386" s="90"/>
      <c r="I386" s="90"/>
    </row>
    <row r="387" spans="8:9" ht="15.75" customHeight="1" x14ac:dyDescent="0.35">
      <c r="H387" s="90"/>
      <c r="I387" s="90"/>
    </row>
    <row r="388" spans="8:9" ht="15.75" customHeight="1" x14ac:dyDescent="0.35">
      <c r="H388" s="90"/>
      <c r="I388" s="90"/>
    </row>
    <row r="389" spans="8:9" ht="15.75" customHeight="1" x14ac:dyDescent="0.35">
      <c r="H389" s="90"/>
      <c r="I389" s="90"/>
    </row>
    <row r="390" spans="8:9" ht="15.75" customHeight="1" x14ac:dyDescent="0.35">
      <c r="H390" s="90"/>
      <c r="I390" s="90"/>
    </row>
    <row r="391" spans="8:9" ht="15.75" customHeight="1" x14ac:dyDescent="0.35">
      <c r="H391" s="90"/>
      <c r="I391" s="90"/>
    </row>
    <row r="392" spans="8:9" ht="15.75" customHeight="1" x14ac:dyDescent="0.35">
      <c r="H392" s="90"/>
      <c r="I392" s="90"/>
    </row>
    <row r="393" spans="8:9" ht="15.75" customHeight="1" x14ac:dyDescent="0.35">
      <c r="H393" s="90"/>
      <c r="I393" s="90"/>
    </row>
    <row r="394" spans="8:9" ht="15.75" customHeight="1" x14ac:dyDescent="0.35">
      <c r="H394" s="90"/>
      <c r="I394" s="90"/>
    </row>
    <row r="395" spans="8:9" ht="15.75" customHeight="1" x14ac:dyDescent="0.35">
      <c r="H395" s="90"/>
      <c r="I395" s="90"/>
    </row>
    <row r="396" spans="8:9" ht="15.75" customHeight="1" x14ac:dyDescent="0.35">
      <c r="H396" s="90"/>
      <c r="I396" s="90"/>
    </row>
    <row r="397" spans="8:9" ht="15.75" customHeight="1" x14ac:dyDescent="0.35">
      <c r="H397" s="90"/>
      <c r="I397" s="90"/>
    </row>
    <row r="398" spans="8:9" ht="15.75" customHeight="1" x14ac:dyDescent="0.35">
      <c r="H398" s="90"/>
      <c r="I398" s="90"/>
    </row>
    <row r="399" spans="8:9" ht="15.75" customHeight="1" x14ac:dyDescent="0.35">
      <c r="H399" s="90"/>
      <c r="I399" s="90"/>
    </row>
    <row r="400" spans="8:9" ht="15.75" customHeight="1" x14ac:dyDescent="0.35">
      <c r="H400" s="90"/>
      <c r="I400" s="90"/>
    </row>
    <row r="401" spans="8:9" ht="15.75" customHeight="1" x14ac:dyDescent="0.35">
      <c r="H401" s="90"/>
      <c r="I401" s="90"/>
    </row>
    <row r="402" spans="8:9" ht="15.75" customHeight="1" x14ac:dyDescent="0.35">
      <c r="H402" s="90"/>
      <c r="I402" s="90"/>
    </row>
    <row r="403" spans="8:9" ht="15.75" customHeight="1" x14ac:dyDescent="0.35">
      <c r="H403" s="90"/>
      <c r="I403" s="90"/>
    </row>
    <row r="404" spans="8:9" ht="15.75" customHeight="1" x14ac:dyDescent="0.35">
      <c r="H404" s="90"/>
      <c r="I404" s="90"/>
    </row>
    <row r="405" spans="8:9" ht="15.75" customHeight="1" x14ac:dyDescent="0.35">
      <c r="H405" s="90"/>
      <c r="I405" s="90"/>
    </row>
    <row r="406" spans="8:9" ht="15.75" customHeight="1" x14ac:dyDescent="0.35">
      <c r="H406" s="90"/>
      <c r="I406" s="90"/>
    </row>
    <row r="407" spans="8:9" ht="15.75" customHeight="1" x14ac:dyDescent="0.35">
      <c r="H407" s="90"/>
      <c r="I407" s="90"/>
    </row>
    <row r="408" spans="8:9" ht="15.75" customHeight="1" x14ac:dyDescent="0.35">
      <c r="H408" s="90"/>
      <c r="I408" s="90"/>
    </row>
    <row r="409" spans="8:9" ht="15.75" customHeight="1" x14ac:dyDescent="0.35">
      <c r="H409" s="90"/>
      <c r="I409" s="90"/>
    </row>
    <row r="410" spans="8:9" ht="15.75" customHeight="1" x14ac:dyDescent="0.35">
      <c r="H410" s="90"/>
      <c r="I410" s="90"/>
    </row>
    <row r="411" spans="8:9" ht="15.75" customHeight="1" x14ac:dyDescent="0.35">
      <c r="H411" s="90"/>
      <c r="I411" s="90"/>
    </row>
    <row r="412" spans="8:9" ht="15.75" customHeight="1" x14ac:dyDescent="0.35">
      <c r="H412" s="90"/>
      <c r="I412" s="90"/>
    </row>
    <row r="413" spans="8:9" ht="15.75" customHeight="1" x14ac:dyDescent="0.35">
      <c r="H413" s="90"/>
      <c r="I413" s="90"/>
    </row>
    <row r="414" spans="8:9" ht="15.75" customHeight="1" x14ac:dyDescent="0.35">
      <c r="H414" s="90"/>
      <c r="I414" s="90"/>
    </row>
    <row r="415" spans="8:9" ht="15.75" customHeight="1" x14ac:dyDescent="0.35">
      <c r="H415" s="90"/>
      <c r="I415" s="90"/>
    </row>
    <row r="416" spans="8:9" ht="15.75" customHeight="1" x14ac:dyDescent="0.35">
      <c r="H416" s="90"/>
      <c r="I416" s="90"/>
    </row>
    <row r="417" spans="8:9" ht="15.75" customHeight="1" x14ac:dyDescent="0.35">
      <c r="H417" s="90"/>
      <c r="I417" s="90"/>
    </row>
    <row r="418" spans="8:9" ht="15.75" customHeight="1" x14ac:dyDescent="0.35">
      <c r="H418" s="90"/>
      <c r="I418" s="90"/>
    </row>
    <row r="419" spans="8:9" ht="15.75" customHeight="1" x14ac:dyDescent="0.35">
      <c r="H419" s="90"/>
      <c r="I419" s="90"/>
    </row>
    <row r="420" spans="8:9" ht="15.75" customHeight="1" x14ac:dyDescent="0.35">
      <c r="H420" s="90"/>
      <c r="I420" s="90"/>
    </row>
    <row r="421" spans="8:9" ht="15.75" customHeight="1" x14ac:dyDescent="0.35">
      <c r="H421" s="90"/>
      <c r="I421" s="90"/>
    </row>
    <row r="422" spans="8:9" ht="15.75" customHeight="1" x14ac:dyDescent="0.35">
      <c r="H422" s="90"/>
      <c r="I422" s="90"/>
    </row>
    <row r="423" spans="8:9" ht="15.75" customHeight="1" x14ac:dyDescent="0.35">
      <c r="H423" s="90"/>
      <c r="I423" s="90"/>
    </row>
    <row r="424" spans="8:9" ht="15.75" customHeight="1" x14ac:dyDescent="0.35">
      <c r="H424" s="90"/>
      <c r="I424" s="90"/>
    </row>
    <row r="425" spans="8:9" ht="15.75" customHeight="1" x14ac:dyDescent="0.35">
      <c r="H425" s="90"/>
      <c r="I425" s="90"/>
    </row>
    <row r="426" spans="8:9" ht="15.75" customHeight="1" x14ac:dyDescent="0.35">
      <c r="H426" s="90"/>
      <c r="I426" s="90"/>
    </row>
    <row r="427" spans="8:9" ht="15.75" customHeight="1" x14ac:dyDescent="0.35">
      <c r="H427" s="90"/>
      <c r="I427" s="90"/>
    </row>
    <row r="428" spans="8:9" ht="15.75" customHeight="1" x14ac:dyDescent="0.35">
      <c r="H428" s="90"/>
      <c r="I428" s="90"/>
    </row>
    <row r="429" spans="8:9" ht="15.75" customHeight="1" x14ac:dyDescent="0.35">
      <c r="H429" s="90"/>
      <c r="I429" s="90"/>
    </row>
    <row r="430" spans="8:9" ht="15.75" customHeight="1" x14ac:dyDescent="0.35">
      <c r="H430" s="90"/>
      <c r="I430" s="90"/>
    </row>
    <row r="431" spans="8:9" ht="15.75" customHeight="1" x14ac:dyDescent="0.35">
      <c r="H431" s="90"/>
      <c r="I431" s="90"/>
    </row>
    <row r="432" spans="8:9" ht="15.75" customHeight="1" x14ac:dyDescent="0.35">
      <c r="H432" s="90"/>
      <c r="I432" s="90"/>
    </row>
    <row r="433" spans="8:9" ht="15.75" customHeight="1" x14ac:dyDescent="0.35">
      <c r="H433" s="90"/>
      <c r="I433" s="90"/>
    </row>
    <row r="434" spans="8:9" ht="15.75" customHeight="1" x14ac:dyDescent="0.35">
      <c r="H434" s="90"/>
      <c r="I434" s="90"/>
    </row>
    <row r="435" spans="8:9" ht="15.75" customHeight="1" x14ac:dyDescent="0.35">
      <c r="H435" s="90"/>
      <c r="I435" s="90"/>
    </row>
    <row r="436" spans="8:9" ht="15.75" customHeight="1" x14ac:dyDescent="0.35">
      <c r="H436" s="90"/>
      <c r="I436" s="90"/>
    </row>
    <row r="437" spans="8:9" ht="15.75" customHeight="1" x14ac:dyDescent="0.35">
      <c r="H437" s="90"/>
      <c r="I437" s="90"/>
    </row>
    <row r="438" spans="8:9" ht="15.75" customHeight="1" x14ac:dyDescent="0.35">
      <c r="H438" s="90"/>
      <c r="I438" s="90"/>
    </row>
    <row r="439" spans="8:9" ht="15.75" customHeight="1" x14ac:dyDescent="0.35">
      <c r="H439" s="90"/>
      <c r="I439" s="90"/>
    </row>
    <row r="440" spans="8:9" ht="15.75" customHeight="1" x14ac:dyDescent="0.35">
      <c r="H440" s="90"/>
      <c r="I440" s="90"/>
    </row>
    <row r="441" spans="8:9" ht="15.75" customHeight="1" x14ac:dyDescent="0.35">
      <c r="H441" s="90"/>
      <c r="I441" s="90"/>
    </row>
    <row r="442" spans="8:9" ht="15.75" customHeight="1" x14ac:dyDescent="0.35">
      <c r="H442" s="90"/>
      <c r="I442" s="90"/>
    </row>
    <row r="443" spans="8:9" ht="15.75" customHeight="1" x14ac:dyDescent="0.35">
      <c r="H443" s="90"/>
      <c r="I443" s="90"/>
    </row>
    <row r="444" spans="8:9" ht="15.75" customHeight="1" x14ac:dyDescent="0.35">
      <c r="H444" s="90"/>
      <c r="I444" s="90"/>
    </row>
    <row r="445" spans="8:9" ht="15.75" customHeight="1" x14ac:dyDescent="0.35">
      <c r="H445" s="90"/>
      <c r="I445" s="90"/>
    </row>
    <row r="446" spans="8:9" ht="15.75" customHeight="1" x14ac:dyDescent="0.35">
      <c r="H446" s="90"/>
      <c r="I446" s="90"/>
    </row>
    <row r="447" spans="8:9" ht="15.75" customHeight="1" x14ac:dyDescent="0.35">
      <c r="H447" s="90"/>
      <c r="I447" s="90"/>
    </row>
    <row r="448" spans="8:9" ht="15.75" customHeight="1" x14ac:dyDescent="0.35">
      <c r="H448" s="90"/>
      <c r="I448" s="90"/>
    </row>
    <row r="449" spans="8:9" ht="15.75" customHeight="1" x14ac:dyDescent="0.35">
      <c r="H449" s="90"/>
      <c r="I449" s="90"/>
    </row>
    <row r="450" spans="8:9" ht="15.75" customHeight="1" x14ac:dyDescent="0.35">
      <c r="H450" s="90"/>
      <c r="I450" s="90"/>
    </row>
    <row r="451" spans="8:9" ht="15.75" customHeight="1" x14ac:dyDescent="0.35">
      <c r="H451" s="90"/>
      <c r="I451" s="90"/>
    </row>
    <row r="452" spans="8:9" ht="15.75" customHeight="1" x14ac:dyDescent="0.35">
      <c r="H452" s="90"/>
      <c r="I452" s="90"/>
    </row>
    <row r="453" spans="8:9" ht="15.75" customHeight="1" x14ac:dyDescent="0.35">
      <c r="H453" s="90"/>
      <c r="I453" s="90"/>
    </row>
    <row r="454" spans="8:9" ht="15.75" customHeight="1" x14ac:dyDescent="0.35">
      <c r="H454" s="90"/>
      <c r="I454" s="90"/>
    </row>
    <row r="455" spans="8:9" ht="15.75" customHeight="1" x14ac:dyDescent="0.35">
      <c r="H455" s="90"/>
      <c r="I455" s="90"/>
    </row>
    <row r="456" spans="8:9" ht="15.75" customHeight="1" x14ac:dyDescent="0.35">
      <c r="H456" s="90"/>
      <c r="I456" s="90"/>
    </row>
    <row r="457" spans="8:9" ht="15.75" customHeight="1" x14ac:dyDescent="0.35">
      <c r="H457" s="90"/>
      <c r="I457" s="90"/>
    </row>
    <row r="458" spans="8:9" ht="15.75" customHeight="1" x14ac:dyDescent="0.35">
      <c r="H458" s="90"/>
      <c r="I458" s="90"/>
    </row>
    <row r="459" spans="8:9" ht="15.75" customHeight="1" x14ac:dyDescent="0.35">
      <c r="H459" s="90"/>
      <c r="I459" s="90"/>
    </row>
    <row r="460" spans="8:9" ht="15.75" customHeight="1" x14ac:dyDescent="0.35">
      <c r="H460" s="90"/>
      <c r="I460" s="90"/>
    </row>
    <row r="461" spans="8:9" ht="15.75" customHeight="1" x14ac:dyDescent="0.35">
      <c r="H461" s="90"/>
      <c r="I461" s="90"/>
    </row>
    <row r="462" spans="8:9" ht="15.75" customHeight="1" x14ac:dyDescent="0.35">
      <c r="H462" s="90"/>
      <c r="I462" s="90"/>
    </row>
    <row r="463" spans="8:9" ht="15.75" customHeight="1" x14ac:dyDescent="0.35">
      <c r="H463" s="90"/>
      <c r="I463" s="90"/>
    </row>
    <row r="464" spans="8:9" ht="15.75" customHeight="1" x14ac:dyDescent="0.35">
      <c r="H464" s="90"/>
      <c r="I464" s="90"/>
    </row>
    <row r="465" spans="8:9" ht="15.75" customHeight="1" x14ac:dyDescent="0.35">
      <c r="H465" s="90"/>
      <c r="I465" s="90"/>
    </row>
    <row r="466" spans="8:9" ht="15.75" customHeight="1" x14ac:dyDescent="0.35">
      <c r="H466" s="90"/>
      <c r="I466" s="90"/>
    </row>
    <row r="467" spans="8:9" ht="15.75" customHeight="1" x14ac:dyDescent="0.35">
      <c r="H467" s="90"/>
      <c r="I467" s="90"/>
    </row>
    <row r="468" spans="8:9" ht="15.75" customHeight="1" x14ac:dyDescent="0.35">
      <c r="H468" s="90"/>
      <c r="I468" s="90"/>
    </row>
    <row r="469" spans="8:9" ht="15.75" customHeight="1" x14ac:dyDescent="0.35">
      <c r="H469" s="90"/>
      <c r="I469" s="90"/>
    </row>
    <row r="470" spans="8:9" ht="15.75" customHeight="1" x14ac:dyDescent="0.35">
      <c r="H470" s="90"/>
      <c r="I470" s="90"/>
    </row>
    <row r="471" spans="8:9" ht="15.75" customHeight="1" x14ac:dyDescent="0.35">
      <c r="H471" s="90"/>
      <c r="I471" s="90"/>
    </row>
    <row r="472" spans="8:9" ht="15.75" customHeight="1" x14ac:dyDescent="0.35">
      <c r="H472" s="90"/>
      <c r="I472" s="90"/>
    </row>
    <row r="473" spans="8:9" ht="15.75" customHeight="1" x14ac:dyDescent="0.35">
      <c r="H473" s="90"/>
      <c r="I473" s="90"/>
    </row>
    <row r="474" spans="8:9" ht="15.75" customHeight="1" x14ac:dyDescent="0.35">
      <c r="H474" s="90"/>
      <c r="I474" s="90"/>
    </row>
    <row r="475" spans="8:9" ht="15.75" customHeight="1" x14ac:dyDescent="0.35">
      <c r="H475" s="90"/>
      <c r="I475" s="90"/>
    </row>
    <row r="476" spans="8:9" ht="15.75" customHeight="1" x14ac:dyDescent="0.35">
      <c r="H476" s="90"/>
      <c r="I476" s="90"/>
    </row>
    <row r="477" spans="8:9" ht="15.75" customHeight="1" x14ac:dyDescent="0.35">
      <c r="H477" s="90"/>
      <c r="I477" s="90"/>
    </row>
    <row r="478" spans="8:9" ht="15.75" customHeight="1" x14ac:dyDescent="0.35">
      <c r="H478" s="90"/>
      <c r="I478" s="90"/>
    </row>
    <row r="479" spans="8:9" ht="15.75" customHeight="1" x14ac:dyDescent="0.35">
      <c r="H479" s="90"/>
      <c r="I479" s="90"/>
    </row>
    <row r="480" spans="8:9" ht="15.75" customHeight="1" x14ac:dyDescent="0.35">
      <c r="H480" s="90"/>
      <c r="I480" s="90"/>
    </row>
    <row r="481" spans="8:9" ht="15.75" customHeight="1" x14ac:dyDescent="0.35">
      <c r="H481" s="90"/>
      <c r="I481" s="90"/>
    </row>
    <row r="482" spans="8:9" ht="15.75" customHeight="1" x14ac:dyDescent="0.35">
      <c r="H482" s="90"/>
      <c r="I482" s="90"/>
    </row>
    <row r="483" spans="8:9" ht="15.75" customHeight="1" x14ac:dyDescent="0.35">
      <c r="H483" s="90"/>
      <c r="I483" s="90"/>
    </row>
    <row r="484" spans="8:9" ht="15.75" customHeight="1" x14ac:dyDescent="0.35">
      <c r="H484" s="90"/>
      <c r="I484" s="90"/>
    </row>
    <row r="485" spans="8:9" ht="15.75" customHeight="1" x14ac:dyDescent="0.35">
      <c r="H485" s="90"/>
      <c r="I485" s="90"/>
    </row>
    <row r="486" spans="8:9" ht="15.75" customHeight="1" x14ac:dyDescent="0.35">
      <c r="H486" s="90"/>
      <c r="I486" s="90"/>
    </row>
    <row r="487" spans="8:9" ht="15.75" customHeight="1" x14ac:dyDescent="0.35">
      <c r="H487" s="90"/>
      <c r="I487" s="90"/>
    </row>
    <row r="488" spans="8:9" ht="15.75" customHeight="1" x14ac:dyDescent="0.35">
      <c r="H488" s="90"/>
      <c r="I488" s="90"/>
    </row>
    <row r="489" spans="8:9" ht="15.75" customHeight="1" x14ac:dyDescent="0.35">
      <c r="H489" s="90"/>
      <c r="I489" s="90"/>
    </row>
    <row r="490" spans="8:9" ht="15.75" customHeight="1" x14ac:dyDescent="0.35">
      <c r="H490" s="90"/>
      <c r="I490" s="90"/>
    </row>
    <row r="491" spans="8:9" ht="15.75" customHeight="1" x14ac:dyDescent="0.35">
      <c r="H491" s="90"/>
      <c r="I491" s="90"/>
    </row>
    <row r="492" spans="8:9" ht="15.75" customHeight="1" x14ac:dyDescent="0.35">
      <c r="H492" s="90"/>
      <c r="I492" s="90"/>
    </row>
    <row r="493" spans="8:9" ht="15.75" customHeight="1" x14ac:dyDescent="0.35">
      <c r="H493" s="90"/>
      <c r="I493" s="90"/>
    </row>
    <row r="494" spans="8:9" ht="15.75" customHeight="1" x14ac:dyDescent="0.35">
      <c r="H494" s="90"/>
      <c r="I494" s="90"/>
    </row>
    <row r="495" spans="8:9" ht="15.75" customHeight="1" x14ac:dyDescent="0.35">
      <c r="H495" s="90"/>
      <c r="I495" s="90"/>
    </row>
    <row r="496" spans="8:9" ht="15.75" customHeight="1" x14ac:dyDescent="0.35">
      <c r="H496" s="90"/>
      <c r="I496" s="90"/>
    </row>
    <row r="497" spans="8:9" ht="15.75" customHeight="1" x14ac:dyDescent="0.35">
      <c r="H497" s="90"/>
      <c r="I497" s="90"/>
    </row>
    <row r="498" spans="8:9" ht="15.75" customHeight="1" x14ac:dyDescent="0.35">
      <c r="H498" s="90"/>
      <c r="I498" s="90"/>
    </row>
    <row r="499" spans="8:9" ht="15.75" customHeight="1" x14ac:dyDescent="0.35">
      <c r="H499" s="90"/>
      <c r="I499" s="90"/>
    </row>
    <row r="500" spans="8:9" ht="15.75" customHeight="1" x14ac:dyDescent="0.35">
      <c r="H500" s="90"/>
      <c r="I500" s="90"/>
    </row>
    <row r="501" spans="8:9" ht="15.75" customHeight="1" x14ac:dyDescent="0.35">
      <c r="H501" s="90"/>
      <c r="I501" s="90"/>
    </row>
    <row r="502" spans="8:9" ht="15.75" customHeight="1" x14ac:dyDescent="0.35">
      <c r="H502" s="90"/>
      <c r="I502" s="90"/>
    </row>
    <row r="503" spans="8:9" ht="15.75" customHeight="1" x14ac:dyDescent="0.35">
      <c r="H503" s="90"/>
      <c r="I503" s="90"/>
    </row>
    <row r="504" spans="8:9" ht="15.75" customHeight="1" x14ac:dyDescent="0.35">
      <c r="H504" s="90"/>
      <c r="I504" s="90"/>
    </row>
    <row r="505" spans="8:9" ht="15.75" customHeight="1" x14ac:dyDescent="0.35">
      <c r="H505" s="90"/>
      <c r="I505" s="90"/>
    </row>
    <row r="506" spans="8:9" ht="15.75" customHeight="1" x14ac:dyDescent="0.35">
      <c r="H506" s="90"/>
      <c r="I506" s="90"/>
    </row>
    <row r="507" spans="8:9" ht="15.75" customHeight="1" x14ac:dyDescent="0.35">
      <c r="H507" s="90"/>
      <c r="I507" s="90"/>
    </row>
    <row r="508" spans="8:9" ht="15.75" customHeight="1" x14ac:dyDescent="0.35">
      <c r="H508" s="90"/>
      <c r="I508" s="90"/>
    </row>
    <row r="509" spans="8:9" ht="15.75" customHeight="1" x14ac:dyDescent="0.35">
      <c r="H509" s="90"/>
      <c r="I509" s="90"/>
    </row>
    <row r="510" spans="8:9" ht="15.75" customHeight="1" x14ac:dyDescent="0.35">
      <c r="H510" s="90"/>
      <c r="I510" s="90"/>
    </row>
    <row r="511" spans="8:9" ht="15.75" customHeight="1" x14ac:dyDescent="0.35">
      <c r="H511" s="90"/>
      <c r="I511" s="90"/>
    </row>
    <row r="512" spans="8:9" ht="15.75" customHeight="1" x14ac:dyDescent="0.35">
      <c r="H512" s="90"/>
      <c r="I512" s="90"/>
    </row>
    <row r="513" spans="8:9" ht="15.75" customHeight="1" x14ac:dyDescent="0.35">
      <c r="H513" s="90"/>
      <c r="I513" s="90"/>
    </row>
    <row r="514" spans="8:9" ht="15.75" customHeight="1" x14ac:dyDescent="0.35">
      <c r="H514" s="90"/>
      <c r="I514" s="90"/>
    </row>
    <row r="515" spans="8:9" ht="15.75" customHeight="1" x14ac:dyDescent="0.35">
      <c r="H515" s="90"/>
      <c r="I515" s="90"/>
    </row>
    <row r="516" spans="8:9" ht="15.75" customHeight="1" x14ac:dyDescent="0.35">
      <c r="H516" s="90"/>
      <c r="I516" s="90"/>
    </row>
    <row r="517" spans="8:9" ht="15.75" customHeight="1" x14ac:dyDescent="0.35">
      <c r="H517" s="90"/>
      <c r="I517" s="90"/>
    </row>
    <row r="518" spans="8:9" ht="15.75" customHeight="1" x14ac:dyDescent="0.35">
      <c r="H518" s="90"/>
      <c r="I518" s="90"/>
    </row>
    <row r="519" spans="8:9" ht="15.75" customHeight="1" x14ac:dyDescent="0.35">
      <c r="H519" s="90"/>
      <c r="I519" s="90"/>
    </row>
    <row r="520" spans="8:9" ht="15.75" customHeight="1" x14ac:dyDescent="0.35">
      <c r="H520" s="90"/>
      <c r="I520" s="90"/>
    </row>
    <row r="521" spans="8:9" ht="15.75" customHeight="1" x14ac:dyDescent="0.35">
      <c r="H521" s="90"/>
      <c r="I521" s="90"/>
    </row>
    <row r="522" spans="8:9" ht="15.75" customHeight="1" x14ac:dyDescent="0.35">
      <c r="H522" s="90"/>
      <c r="I522" s="90"/>
    </row>
    <row r="523" spans="8:9" ht="15.75" customHeight="1" x14ac:dyDescent="0.35">
      <c r="H523" s="90"/>
      <c r="I523" s="90"/>
    </row>
    <row r="524" spans="8:9" ht="15.75" customHeight="1" x14ac:dyDescent="0.35">
      <c r="H524" s="90"/>
      <c r="I524" s="90"/>
    </row>
    <row r="525" spans="8:9" ht="15.75" customHeight="1" x14ac:dyDescent="0.35">
      <c r="H525" s="90"/>
      <c r="I525" s="90"/>
    </row>
    <row r="526" spans="8:9" ht="15.75" customHeight="1" x14ac:dyDescent="0.35">
      <c r="H526" s="90"/>
      <c r="I526" s="90"/>
    </row>
    <row r="527" spans="8:9" ht="15.75" customHeight="1" x14ac:dyDescent="0.35">
      <c r="H527" s="90"/>
      <c r="I527" s="90"/>
    </row>
    <row r="528" spans="8:9" ht="15.75" customHeight="1" x14ac:dyDescent="0.35">
      <c r="H528" s="90"/>
      <c r="I528" s="90"/>
    </row>
    <row r="529" spans="8:9" ht="15.75" customHeight="1" x14ac:dyDescent="0.35">
      <c r="H529" s="90"/>
      <c r="I529" s="90"/>
    </row>
    <row r="530" spans="8:9" ht="15.75" customHeight="1" x14ac:dyDescent="0.35">
      <c r="H530" s="90"/>
      <c r="I530" s="90"/>
    </row>
    <row r="531" spans="8:9" ht="15.75" customHeight="1" x14ac:dyDescent="0.35">
      <c r="H531" s="90"/>
      <c r="I531" s="90"/>
    </row>
    <row r="532" spans="8:9" ht="15.75" customHeight="1" x14ac:dyDescent="0.35">
      <c r="H532" s="90"/>
      <c r="I532" s="90"/>
    </row>
    <row r="533" spans="8:9" ht="15.75" customHeight="1" x14ac:dyDescent="0.35">
      <c r="H533" s="90"/>
      <c r="I533" s="90"/>
    </row>
    <row r="534" spans="8:9" ht="15.75" customHeight="1" x14ac:dyDescent="0.35">
      <c r="H534" s="90"/>
      <c r="I534" s="90"/>
    </row>
    <row r="535" spans="8:9" ht="15.75" customHeight="1" x14ac:dyDescent="0.35">
      <c r="H535" s="90"/>
      <c r="I535" s="90"/>
    </row>
    <row r="536" spans="8:9" ht="15.75" customHeight="1" x14ac:dyDescent="0.35">
      <c r="H536" s="90"/>
      <c r="I536" s="90"/>
    </row>
    <row r="537" spans="8:9" ht="15.75" customHeight="1" x14ac:dyDescent="0.35">
      <c r="H537" s="90"/>
      <c r="I537" s="90"/>
    </row>
    <row r="538" spans="8:9" ht="15.75" customHeight="1" x14ac:dyDescent="0.35">
      <c r="H538" s="90"/>
      <c r="I538" s="90"/>
    </row>
    <row r="539" spans="8:9" ht="15.75" customHeight="1" x14ac:dyDescent="0.35">
      <c r="H539" s="90"/>
      <c r="I539" s="90"/>
    </row>
    <row r="540" spans="8:9" ht="15.75" customHeight="1" x14ac:dyDescent="0.35">
      <c r="H540" s="90"/>
      <c r="I540" s="90"/>
    </row>
    <row r="541" spans="8:9" ht="15.75" customHeight="1" x14ac:dyDescent="0.35">
      <c r="H541" s="90"/>
      <c r="I541" s="90"/>
    </row>
    <row r="542" spans="8:9" ht="15.75" customHeight="1" x14ac:dyDescent="0.35">
      <c r="H542" s="90"/>
      <c r="I542" s="90"/>
    </row>
    <row r="543" spans="8:9" ht="15.75" customHeight="1" x14ac:dyDescent="0.35">
      <c r="H543" s="90"/>
      <c r="I543" s="90"/>
    </row>
    <row r="544" spans="8:9" ht="15.75" customHeight="1" x14ac:dyDescent="0.35">
      <c r="H544" s="90"/>
      <c r="I544" s="90"/>
    </row>
    <row r="545" spans="8:9" ht="15.75" customHeight="1" x14ac:dyDescent="0.35">
      <c r="H545" s="90"/>
      <c r="I545" s="90"/>
    </row>
    <row r="546" spans="8:9" ht="15.75" customHeight="1" x14ac:dyDescent="0.35">
      <c r="H546" s="90"/>
      <c r="I546" s="90"/>
    </row>
    <row r="547" spans="8:9" ht="15.75" customHeight="1" x14ac:dyDescent="0.35">
      <c r="H547" s="90"/>
      <c r="I547" s="90"/>
    </row>
    <row r="548" spans="8:9" ht="15.75" customHeight="1" x14ac:dyDescent="0.35">
      <c r="H548" s="90"/>
      <c r="I548" s="90"/>
    </row>
    <row r="549" spans="8:9" ht="15.75" customHeight="1" x14ac:dyDescent="0.35">
      <c r="H549" s="90"/>
      <c r="I549" s="90"/>
    </row>
    <row r="550" spans="8:9" ht="15.75" customHeight="1" x14ac:dyDescent="0.35">
      <c r="H550" s="90"/>
      <c r="I550" s="90"/>
    </row>
    <row r="551" spans="8:9" ht="15.75" customHeight="1" x14ac:dyDescent="0.35">
      <c r="H551" s="90"/>
      <c r="I551" s="90"/>
    </row>
    <row r="552" spans="8:9" ht="15.75" customHeight="1" x14ac:dyDescent="0.35">
      <c r="H552" s="90"/>
      <c r="I552" s="90"/>
    </row>
    <row r="553" spans="8:9" ht="15.75" customHeight="1" x14ac:dyDescent="0.35">
      <c r="H553" s="90"/>
      <c r="I553" s="90"/>
    </row>
    <row r="554" spans="8:9" ht="15.75" customHeight="1" x14ac:dyDescent="0.35">
      <c r="H554" s="90"/>
      <c r="I554" s="90"/>
    </row>
    <row r="555" spans="8:9" ht="15.75" customHeight="1" x14ac:dyDescent="0.35">
      <c r="H555" s="90"/>
      <c r="I555" s="90"/>
    </row>
    <row r="556" spans="8:9" ht="15.75" customHeight="1" x14ac:dyDescent="0.35">
      <c r="H556" s="90"/>
      <c r="I556" s="90"/>
    </row>
    <row r="557" spans="8:9" ht="15.75" customHeight="1" x14ac:dyDescent="0.35">
      <c r="H557" s="90"/>
      <c r="I557" s="90"/>
    </row>
    <row r="558" spans="8:9" ht="15.75" customHeight="1" x14ac:dyDescent="0.35">
      <c r="H558" s="90"/>
      <c r="I558" s="90"/>
    </row>
    <row r="559" spans="8:9" ht="15.75" customHeight="1" x14ac:dyDescent="0.35">
      <c r="H559" s="90"/>
      <c r="I559" s="90"/>
    </row>
    <row r="560" spans="8:9" ht="15.75" customHeight="1" x14ac:dyDescent="0.35">
      <c r="H560" s="90"/>
      <c r="I560" s="90"/>
    </row>
    <row r="561" spans="8:9" ht="15.75" customHeight="1" x14ac:dyDescent="0.35">
      <c r="H561" s="90"/>
      <c r="I561" s="90"/>
    </row>
    <row r="562" spans="8:9" ht="15.75" customHeight="1" x14ac:dyDescent="0.35">
      <c r="H562" s="90"/>
      <c r="I562" s="90"/>
    </row>
    <row r="563" spans="8:9" ht="15.75" customHeight="1" x14ac:dyDescent="0.35">
      <c r="H563" s="90"/>
      <c r="I563" s="90"/>
    </row>
    <row r="564" spans="8:9" ht="15.75" customHeight="1" x14ac:dyDescent="0.35">
      <c r="H564" s="90"/>
      <c r="I564" s="90"/>
    </row>
    <row r="565" spans="8:9" ht="15.75" customHeight="1" x14ac:dyDescent="0.35">
      <c r="H565" s="90"/>
      <c r="I565" s="90"/>
    </row>
    <row r="566" spans="8:9" ht="15.75" customHeight="1" x14ac:dyDescent="0.35">
      <c r="H566" s="90"/>
      <c r="I566" s="90"/>
    </row>
    <row r="567" spans="8:9" ht="15.75" customHeight="1" x14ac:dyDescent="0.35">
      <c r="H567" s="90"/>
      <c r="I567" s="90"/>
    </row>
    <row r="568" spans="8:9" ht="15.75" customHeight="1" x14ac:dyDescent="0.35">
      <c r="H568" s="90"/>
      <c r="I568" s="90"/>
    </row>
    <row r="569" spans="8:9" ht="15.75" customHeight="1" x14ac:dyDescent="0.35">
      <c r="H569" s="90"/>
      <c r="I569" s="90"/>
    </row>
    <row r="570" spans="8:9" ht="15.75" customHeight="1" x14ac:dyDescent="0.35">
      <c r="H570" s="90"/>
      <c r="I570" s="90"/>
    </row>
    <row r="571" spans="8:9" ht="15.75" customHeight="1" x14ac:dyDescent="0.35">
      <c r="H571" s="90"/>
      <c r="I571" s="90"/>
    </row>
    <row r="572" spans="8:9" ht="15.75" customHeight="1" x14ac:dyDescent="0.35">
      <c r="H572" s="90"/>
      <c r="I572" s="90"/>
    </row>
    <row r="573" spans="8:9" ht="15.75" customHeight="1" x14ac:dyDescent="0.35">
      <c r="H573" s="90"/>
      <c r="I573" s="90"/>
    </row>
    <row r="574" spans="8:9" ht="15.75" customHeight="1" x14ac:dyDescent="0.35">
      <c r="H574" s="90"/>
      <c r="I574" s="90"/>
    </row>
    <row r="575" spans="8:9" ht="15.75" customHeight="1" x14ac:dyDescent="0.35">
      <c r="H575" s="90"/>
      <c r="I575" s="90"/>
    </row>
    <row r="576" spans="8:9" ht="15.75" customHeight="1" x14ac:dyDescent="0.35">
      <c r="H576" s="90"/>
      <c r="I576" s="90"/>
    </row>
    <row r="577" spans="8:9" ht="15.75" customHeight="1" x14ac:dyDescent="0.35">
      <c r="H577" s="90"/>
      <c r="I577" s="90"/>
    </row>
    <row r="578" spans="8:9" ht="15.75" customHeight="1" x14ac:dyDescent="0.35">
      <c r="H578" s="90"/>
      <c r="I578" s="90"/>
    </row>
    <row r="579" spans="8:9" ht="15.75" customHeight="1" x14ac:dyDescent="0.35">
      <c r="H579" s="90"/>
      <c r="I579" s="90"/>
    </row>
    <row r="580" spans="8:9" ht="15.75" customHeight="1" x14ac:dyDescent="0.35">
      <c r="H580" s="90"/>
      <c r="I580" s="90"/>
    </row>
    <row r="581" spans="8:9" ht="15.75" customHeight="1" x14ac:dyDescent="0.35">
      <c r="H581" s="90"/>
      <c r="I581" s="90"/>
    </row>
    <row r="582" spans="8:9" ht="15.75" customHeight="1" x14ac:dyDescent="0.35">
      <c r="H582" s="90"/>
      <c r="I582" s="90"/>
    </row>
    <row r="583" spans="8:9" ht="15.75" customHeight="1" x14ac:dyDescent="0.35">
      <c r="H583" s="90"/>
      <c r="I583" s="90"/>
    </row>
    <row r="584" spans="8:9" ht="15.75" customHeight="1" x14ac:dyDescent="0.35">
      <c r="H584" s="90"/>
      <c r="I584" s="90"/>
    </row>
    <row r="585" spans="8:9" ht="15.75" customHeight="1" x14ac:dyDescent="0.35">
      <c r="H585" s="90"/>
      <c r="I585" s="90"/>
    </row>
    <row r="586" spans="8:9" ht="15.75" customHeight="1" x14ac:dyDescent="0.35">
      <c r="H586" s="90"/>
      <c r="I586" s="90"/>
    </row>
    <row r="587" spans="8:9" ht="15.75" customHeight="1" x14ac:dyDescent="0.35">
      <c r="H587" s="90"/>
      <c r="I587" s="90"/>
    </row>
    <row r="588" spans="8:9" ht="15.75" customHeight="1" x14ac:dyDescent="0.35">
      <c r="H588" s="90"/>
      <c r="I588" s="90"/>
    </row>
    <row r="589" spans="8:9" ht="15.75" customHeight="1" x14ac:dyDescent="0.35">
      <c r="H589" s="90"/>
      <c r="I589" s="90"/>
    </row>
    <row r="590" spans="8:9" ht="15.75" customHeight="1" x14ac:dyDescent="0.35">
      <c r="H590" s="90"/>
      <c r="I590" s="90"/>
    </row>
    <row r="591" spans="8:9" ht="15.75" customHeight="1" x14ac:dyDescent="0.35">
      <c r="H591" s="90"/>
      <c r="I591" s="90"/>
    </row>
    <row r="592" spans="8:9" ht="15.75" customHeight="1" x14ac:dyDescent="0.35">
      <c r="H592" s="90"/>
      <c r="I592" s="90"/>
    </row>
    <row r="593" spans="8:9" ht="15.75" customHeight="1" x14ac:dyDescent="0.35">
      <c r="H593" s="90"/>
      <c r="I593" s="90"/>
    </row>
    <row r="594" spans="8:9" ht="15.75" customHeight="1" x14ac:dyDescent="0.35">
      <c r="H594" s="90"/>
      <c r="I594" s="90"/>
    </row>
    <row r="595" spans="8:9" ht="15.75" customHeight="1" x14ac:dyDescent="0.35">
      <c r="H595" s="90"/>
      <c r="I595" s="90"/>
    </row>
    <row r="596" spans="8:9" ht="15.75" customHeight="1" x14ac:dyDescent="0.35">
      <c r="H596" s="90"/>
      <c r="I596" s="90"/>
    </row>
    <row r="597" spans="8:9" ht="15.75" customHeight="1" x14ac:dyDescent="0.35">
      <c r="H597" s="90"/>
      <c r="I597" s="90"/>
    </row>
    <row r="598" spans="8:9" ht="15.75" customHeight="1" x14ac:dyDescent="0.35">
      <c r="H598" s="90"/>
      <c r="I598" s="90"/>
    </row>
    <row r="599" spans="8:9" ht="15.75" customHeight="1" x14ac:dyDescent="0.35">
      <c r="H599" s="90"/>
      <c r="I599" s="90"/>
    </row>
    <row r="600" spans="8:9" ht="15.75" customHeight="1" x14ac:dyDescent="0.35">
      <c r="H600" s="90"/>
      <c r="I600" s="90"/>
    </row>
    <row r="601" spans="8:9" ht="15.75" customHeight="1" x14ac:dyDescent="0.35">
      <c r="H601" s="90"/>
      <c r="I601" s="90"/>
    </row>
    <row r="602" spans="8:9" ht="15.75" customHeight="1" x14ac:dyDescent="0.35">
      <c r="H602" s="90"/>
      <c r="I602" s="90"/>
    </row>
    <row r="603" spans="8:9" ht="15.75" customHeight="1" x14ac:dyDescent="0.35">
      <c r="H603" s="90"/>
      <c r="I603" s="90"/>
    </row>
    <row r="604" spans="8:9" ht="15.75" customHeight="1" x14ac:dyDescent="0.35">
      <c r="H604" s="90"/>
      <c r="I604" s="90"/>
    </row>
    <row r="605" spans="8:9" ht="15.75" customHeight="1" x14ac:dyDescent="0.35">
      <c r="H605" s="90"/>
      <c r="I605" s="90"/>
    </row>
    <row r="606" spans="8:9" ht="15.75" customHeight="1" x14ac:dyDescent="0.35">
      <c r="H606" s="90"/>
      <c r="I606" s="90"/>
    </row>
    <row r="607" spans="8:9" ht="15.75" customHeight="1" x14ac:dyDescent="0.35">
      <c r="H607" s="90"/>
      <c r="I607" s="90"/>
    </row>
    <row r="608" spans="8:9" ht="15.75" customHeight="1" x14ac:dyDescent="0.35">
      <c r="H608" s="90"/>
      <c r="I608" s="90"/>
    </row>
    <row r="609" spans="8:9" ht="15.75" customHeight="1" x14ac:dyDescent="0.35">
      <c r="H609" s="90"/>
      <c r="I609" s="90"/>
    </row>
    <row r="610" spans="8:9" ht="15.75" customHeight="1" x14ac:dyDescent="0.35">
      <c r="H610" s="90"/>
      <c r="I610" s="90"/>
    </row>
    <row r="611" spans="8:9" ht="15.75" customHeight="1" x14ac:dyDescent="0.35">
      <c r="H611" s="90"/>
      <c r="I611" s="90"/>
    </row>
    <row r="612" spans="8:9" ht="15.75" customHeight="1" x14ac:dyDescent="0.35">
      <c r="H612" s="90"/>
      <c r="I612" s="90"/>
    </row>
    <row r="613" spans="8:9" ht="15.75" customHeight="1" x14ac:dyDescent="0.35">
      <c r="H613" s="90"/>
      <c r="I613" s="90"/>
    </row>
    <row r="614" spans="8:9" ht="15.75" customHeight="1" x14ac:dyDescent="0.35">
      <c r="H614" s="90"/>
      <c r="I614" s="90"/>
    </row>
    <row r="615" spans="8:9" ht="15.75" customHeight="1" x14ac:dyDescent="0.35">
      <c r="H615" s="90"/>
      <c r="I615" s="90"/>
    </row>
    <row r="616" spans="8:9" ht="15.75" customHeight="1" x14ac:dyDescent="0.35">
      <c r="H616" s="90"/>
      <c r="I616" s="90"/>
    </row>
    <row r="617" spans="8:9" ht="15.75" customHeight="1" x14ac:dyDescent="0.35">
      <c r="H617" s="90"/>
      <c r="I617" s="90"/>
    </row>
    <row r="618" spans="8:9" ht="15.75" customHeight="1" x14ac:dyDescent="0.35">
      <c r="H618" s="90"/>
      <c r="I618" s="90"/>
    </row>
    <row r="619" spans="8:9" ht="15.75" customHeight="1" x14ac:dyDescent="0.35">
      <c r="H619" s="90"/>
      <c r="I619" s="90"/>
    </row>
    <row r="620" spans="8:9" ht="15.75" customHeight="1" x14ac:dyDescent="0.35">
      <c r="H620" s="90"/>
      <c r="I620" s="90"/>
    </row>
    <row r="621" spans="8:9" ht="15.75" customHeight="1" x14ac:dyDescent="0.35">
      <c r="H621" s="90"/>
      <c r="I621" s="90"/>
    </row>
    <row r="622" spans="8:9" ht="15.75" customHeight="1" x14ac:dyDescent="0.35">
      <c r="H622" s="90"/>
      <c r="I622" s="90"/>
    </row>
    <row r="623" spans="8:9" ht="15.75" customHeight="1" x14ac:dyDescent="0.35">
      <c r="H623" s="90"/>
      <c r="I623" s="90"/>
    </row>
    <row r="624" spans="8:9" ht="15.75" customHeight="1" x14ac:dyDescent="0.35">
      <c r="H624" s="90"/>
      <c r="I624" s="90"/>
    </row>
    <row r="625" spans="8:9" ht="15.75" customHeight="1" x14ac:dyDescent="0.35">
      <c r="H625" s="90"/>
      <c r="I625" s="90"/>
    </row>
    <row r="626" spans="8:9" ht="15.75" customHeight="1" x14ac:dyDescent="0.35">
      <c r="H626" s="90"/>
      <c r="I626" s="90"/>
    </row>
    <row r="627" spans="8:9" ht="15.75" customHeight="1" x14ac:dyDescent="0.35">
      <c r="H627" s="90"/>
      <c r="I627" s="90"/>
    </row>
    <row r="628" spans="8:9" ht="15.75" customHeight="1" x14ac:dyDescent="0.35">
      <c r="H628" s="90"/>
      <c r="I628" s="90"/>
    </row>
    <row r="629" spans="8:9" ht="15.75" customHeight="1" x14ac:dyDescent="0.35">
      <c r="H629" s="90"/>
      <c r="I629" s="90"/>
    </row>
    <row r="630" spans="8:9" ht="15.75" customHeight="1" x14ac:dyDescent="0.35">
      <c r="H630" s="90"/>
      <c r="I630" s="90"/>
    </row>
    <row r="631" spans="8:9" ht="15.75" customHeight="1" x14ac:dyDescent="0.35">
      <c r="H631" s="90"/>
      <c r="I631" s="90"/>
    </row>
    <row r="632" spans="8:9" ht="15.75" customHeight="1" x14ac:dyDescent="0.35">
      <c r="H632" s="90"/>
      <c r="I632" s="90"/>
    </row>
    <row r="633" spans="8:9" ht="15.75" customHeight="1" x14ac:dyDescent="0.35">
      <c r="H633" s="90"/>
      <c r="I633" s="90"/>
    </row>
    <row r="634" spans="8:9" ht="15.75" customHeight="1" x14ac:dyDescent="0.35">
      <c r="H634" s="90"/>
      <c r="I634" s="90"/>
    </row>
    <row r="635" spans="8:9" ht="15.75" customHeight="1" x14ac:dyDescent="0.35">
      <c r="H635" s="90"/>
      <c r="I635" s="90"/>
    </row>
    <row r="636" spans="8:9" ht="15.75" customHeight="1" x14ac:dyDescent="0.35">
      <c r="H636" s="90"/>
      <c r="I636" s="90"/>
    </row>
    <row r="637" spans="8:9" ht="15.75" customHeight="1" x14ac:dyDescent="0.35">
      <c r="H637" s="90"/>
      <c r="I637" s="90"/>
    </row>
    <row r="638" spans="8:9" ht="15.75" customHeight="1" x14ac:dyDescent="0.35">
      <c r="H638" s="90"/>
      <c r="I638" s="90"/>
    </row>
    <row r="639" spans="8:9" ht="15.75" customHeight="1" x14ac:dyDescent="0.35">
      <c r="H639" s="90"/>
      <c r="I639" s="90"/>
    </row>
    <row r="640" spans="8:9" ht="15.75" customHeight="1" x14ac:dyDescent="0.35">
      <c r="H640" s="90"/>
      <c r="I640" s="90"/>
    </row>
    <row r="641" spans="8:9" ht="15.75" customHeight="1" x14ac:dyDescent="0.35">
      <c r="H641" s="90"/>
      <c r="I641" s="90"/>
    </row>
    <row r="642" spans="8:9" ht="15.75" customHeight="1" x14ac:dyDescent="0.35">
      <c r="H642" s="90"/>
      <c r="I642" s="90"/>
    </row>
    <row r="643" spans="8:9" ht="15.75" customHeight="1" x14ac:dyDescent="0.35">
      <c r="H643" s="90"/>
      <c r="I643" s="90"/>
    </row>
    <row r="644" spans="8:9" ht="15.75" customHeight="1" x14ac:dyDescent="0.35">
      <c r="H644" s="90"/>
      <c r="I644" s="90"/>
    </row>
    <row r="645" spans="8:9" ht="15.75" customHeight="1" x14ac:dyDescent="0.35">
      <c r="H645" s="90"/>
      <c r="I645" s="90"/>
    </row>
    <row r="646" spans="8:9" ht="15.75" customHeight="1" x14ac:dyDescent="0.35">
      <c r="H646" s="90"/>
      <c r="I646" s="90"/>
    </row>
    <row r="647" spans="8:9" ht="15.75" customHeight="1" x14ac:dyDescent="0.35">
      <c r="H647" s="90"/>
      <c r="I647" s="90"/>
    </row>
    <row r="648" spans="8:9" ht="15.75" customHeight="1" x14ac:dyDescent="0.35">
      <c r="H648" s="90"/>
      <c r="I648" s="90"/>
    </row>
    <row r="649" spans="8:9" ht="15.75" customHeight="1" x14ac:dyDescent="0.35">
      <c r="H649" s="90"/>
      <c r="I649" s="90"/>
    </row>
    <row r="650" spans="8:9" ht="15.75" customHeight="1" x14ac:dyDescent="0.35">
      <c r="H650" s="90"/>
      <c r="I650" s="90"/>
    </row>
    <row r="651" spans="8:9" ht="15.75" customHeight="1" x14ac:dyDescent="0.35">
      <c r="H651" s="90"/>
      <c r="I651" s="90"/>
    </row>
    <row r="652" spans="8:9" ht="15.75" customHeight="1" x14ac:dyDescent="0.35">
      <c r="H652" s="90"/>
      <c r="I652" s="90"/>
    </row>
    <row r="653" spans="8:9" ht="15.75" customHeight="1" x14ac:dyDescent="0.35">
      <c r="H653" s="90"/>
      <c r="I653" s="90"/>
    </row>
    <row r="654" spans="8:9" ht="15.75" customHeight="1" x14ac:dyDescent="0.35">
      <c r="H654" s="90"/>
      <c r="I654" s="90"/>
    </row>
    <row r="655" spans="8:9" ht="15.75" customHeight="1" x14ac:dyDescent="0.35">
      <c r="H655" s="90"/>
      <c r="I655" s="90"/>
    </row>
    <row r="656" spans="8:9" ht="15.75" customHeight="1" x14ac:dyDescent="0.35">
      <c r="H656" s="90"/>
      <c r="I656" s="90"/>
    </row>
    <row r="657" spans="8:9" ht="15.75" customHeight="1" x14ac:dyDescent="0.35">
      <c r="H657" s="90"/>
      <c r="I657" s="90"/>
    </row>
    <row r="658" spans="8:9" ht="15.75" customHeight="1" x14ac:dyDescent="0.35">
      <c r="H658" s="90"/>
      <c r="I658" s="90"/>
    </row>
    <row r="659" spans="8:9" ht="15.75" customHeight="1" x14ac:dyDescent="0.35">
      <c r="H659" s="90"/>
      <c r="I659" s="90"/>
    </row>
    <row r="660" spans="8:9" ht="15.75" customHeight="1" x14ac:dyDescent="0.35">
      <c r="H660" s="90"/>
      <c r="I660" s="90"/>
    </row>
    <row r="661" spans="8:9" ht="15.75" customHeight="1" x14ac:dyDescent="0.35">
      <c r="H661" s="90"/>
      <c r="I661" s="90"/>
    </row>
    <row r="662" spans="8:9" ht="15.75" customHeight="1" x14ac:dyDescent="0.35">
      <c r="H662" s="90"/>
      <c r="I662" s="90"/>
    </row>
    <row r="663" spans="8:9" ht="15.75" customHeight="1" x14ac:dyDescent="0.35">
      <c r="H663" s="90"/>
      <c r="I663" s="90"/>
    </row>
    <row r="664" spans="8:9" ht="15.75" customHeight="1" x14ac:dyDescent="0.35">
      <c r="H664" s="90"/>
      <c r="I664" s="90"/>
    </row>
    <row r="665" spans="8:9" ht="15.75" customHeight="1" x14ac:dyDescent="0.35">
      <c r="H665" s="90"/>
      <c r="I665" s="90"/>
    </row>
    <row r="666" spans="8:9" ht="15.75" customHeight="1" x14ac:dyDescent="0.35">
      <c r="H666" s="90"/>
      <c r="I666" s="90"/>
    </row>
    <row r="667" spans="8:9" ht="15.75" customHeight="1" x14ac:dyDescent="0.35">
      <c r="H667" s="90"/>
      <c r="I667" s="90"/>
    </row>
    <row r="668" spans="8:9" ht="15.75" customHeight="1" x14ac:dyDescent="0.35">
      <c r="H668" s="90"/>
      <c r="I668" s="90"/>
    </row>
    <row r="669" spans="8:9" ht="15.75" customHeight="1" x14ac:dyDescent="0.35">
      <c r="H669" s="90"/>
      <c r="I669" s="90"/>
    </row>
    <row r="670" spans="8:9" ht="15.75" customHeight="1" x14ac:dyDescent="0.35">
      <c r="H670" s="90"/>
      <c r="I670" s="90"/>
    </row>
    <row r="671" spans="8:9" ht="15.75" customHeight="1" x14ac:dyDescent="0.35">
      <c r="H671" s="90"/>
      <c r="I671" s="90"/>
    </row>
    <row r="672" spans="8:9" ht="15.75" customHeight="1" x14ac:dyDescent="0.35">
      <c r="H672" s="90"/>
      <c r="I672" s="90"/>
    </row>
    <row r="673" spans="8:9" ht="15.75" customHeight="1" x14ac:dyDescent="0.35">
      <c r="H673" s="90"/>
      <c r="I673" s="90"/>
    </row>
    <row r="674" spans="8:9" ht="15.75" customHeight="1" x14ac:dyDescent="0.35">
      <c r="H674" s="90"/>
      <c r="I674" s="90"/>
    </row>
    <row r="675" spans="8:9" ht="15.75" customHeight="1" x14ac:dyDescent="0.35">
      <c r="H675" s="90"/>
      <c r="I675" s="90"/>
    </row>
    <row r="676" spans="8:9" ht="15.75" customHeight="1" x14ac:dyDescent="0.35">
      <c r="H676" s="90"/>
      <c r="I676" s="90"/>
    </row>
    <row r="677" spans="8:9" ht="15.75" customHeight="1" x14ac:dyDescent="0.35">
      <c r="H677" s="90"/>
      <c r="I677" s="90"/>
    </row>
    <row r="678" spans="8:9" ht="15.75" customHeight="1" x14ac:dyDescent="0.35">
      <c r="H678" s="90"/>
      <c r="I678" s="90"/>
    </row>
    <row r="679" spans="8:9" ht="15.75" customHeight="1" x14ac:dyDescent="0.35">
      <c r="H679" s="90"/>
      <c r="I679" s="90"/>
    </row>
    <row r="680" spans="8:9" ht="15.75" customHeight="1" x14ac:dyDescent="0.35">
      <c r="H680" s="90"/>
      <c r="I680" s="90"/>
    </row>
    <row r="681" spans="8:9" ht="15.75" customHeight="1" x14ac:dyDescent="0.35">
      <c r="H681" s="90"/>
      <c r="I681" s="90"/>
    </row>
    <row r="682" spans="8:9" ht="15.75" customHeight="1" x14ac:dyDescent="0.35">
      <c r="H682" s="90"/>
      <c r="I682" s="90"/>
    </row>
    <row r="683" spans="8:9" ht="15.75" customHeight="1" x14ac:dyDescent="0.35">
      <c r="H683" s="90"/>
      <c r="I683" s="90"/>
    </row>
    <row r="684" spans="8:9" ht="15.75" customHeight="1" x14ac:dyDescent="0.35">
      <c r="H684" s="90"/>
      <c r="I684" s="90"/>
    </row>
    <row r="685" spans="8:9" ht="15.75" customHeight="1" x14ac:dyDescent="0.35">
      <c r="H685" s="90"/>
      <c r="I685" s="90"/>
    </row>
    <row r="686" spans="8:9" ht="15.75" customHeight="1" x14ac:dyDescent="0.35">
      <c r="H686" s="90"/>
      <c r="I686" s="90"/>
    </row>
    <row r="687" spans="8:9" ht="15.75" customHeight="1" x14ac:dyDescent="0.35">
      <c r="H687" s="90"/>
      <c r="I687" s="90"/>
    </row>
    <row r="688" spans="8:9" ht="15.75" customHeight="1" x14ac:dyDescent="0.35">
      <c r="H688" s="90"/>
      <c r="I688" s="90"/>
    </row>
    <row r="689" spans="8:9" ht="15.75" customHeight="1" x14ac:dyDescent="0.35">
      <c r="H689" s="90"/>
      <c r="I689" s="90"/>
    </row>
    <row r="690" spans="8:9" ht="15.75" customHeight="1" x14ac:dyDescent="0.35">
      <c r="H690" s="90"/>
      <c r="I690" s="90"/>
    </row>
    <row r="691" spans="8:9" ht="15.75" customHeight="1" x14ac:dyDescent="0.35">
      <c r="H691" s="90"/>
      <c r="I691" s="90"/>
    </row>
    <row r="692" spans="8:9" ht="15.75" customHeight="1" x14ac:dyDescent="0.35">
      <c r="H692" s="90"/>
      <c r="I692" s="90"/>
    </row>
    <row r="693" spans="8:9" ht="15.75" customHeight="1" x14ac:dyDescent="0.35">
      <c r="H693" s="90"/>
      <c r="I693" s="90"/>
    </row>
    <row r="694" spans="8:9" ht="15.75" customHeight="1" x14ac:dyDescent="0.35">
      <c r="H694" s="90"/>
      <c r="I694" s="90"/>
    </row>
    <row r="695" spans="8:9" ht="15.75" customHeight="1" x14ac:dyDescent="0.35">
      <c r="H695" s="90"/>
      <c r="I695" s="90"/>
    </row>
    <row r="696" spans="8:9" ht="15.75" customHeight="1" x14ac:dyDescent="0.35">
      <c r="H696" s="90"/>
      <c r="I696" s="90"/>
    </row>
    <row r="697" spans="8:9" ht="15.75" customHeight="1" x14ac:dyDescent="0.35">
      <c r="H697" s="90"/>
      <c r="I697" s="90"/>
    </row>
    <row r="698" spans="8:9" ht="15.75" customHeight="1" x14ac:dyDescent="0.35">
      <c r="H698" s="90"/>
      <c r="I698" s="90"/>
    </row>
    <row r="699" spans="8:9" ht="15.75" customHeight="1" x14ac:dyDescent="0.35">
      <c r="H699" s="90"/>
      <c r="I699" s="90"/>
    </row>
    <row r="700" spans="8:9" ht="15.75" customHeight="1" x14ac:dyDescent="0.35">
      <c r="H700" s="90"/>
      <c r="I700" s="90"/>
    </row>
    <row r="701" spans="8:9" ht="15.75" customHeight="1" x14ac:dyDescent="0.35">
      <c r="H701" s="90"/>
      <c r="I701" s="90"/>
    </row>
    <row r="702" spans="8:9" ht="15.75" customHeight="1" x14ac:dyDescent="0.35">
      <c r="H702" s="90"/>
      <c r="I702" s="90"/>
    </row>
    <row r="703" spans="8:9" ht="15.75" customHeight="1" x14ac:dyDescent="0.35">
      <c r="H703" s="90"/>
      <c r="I703" s="90"/>
    </row>
    <row r="704" spans="8:9" ht="15.75" customHeight="1" x14ac:dyDescent="0.35">
      <c r="H704" s="90"/>
      <c r="I704" s="90"/>
    </row>
    <row r="705" spans="8:9" ht="15.75" customHeight="1" x14ac:dyDescent="0.35">
      <c r="H705" s="90"/>
      <c r="I705" s="90"/>
    </row>
    <row r="706" spans="8:9" ht="15.75" customHeight="1" x14ac:dyDescent="0.35">
      <c r="H706" s="90"/>
      <c r="I706" s="90"/>
    </row>
    <row r="707" spans="8:9" ht="15.75" customHeight="1" x14ac:dyDescent="0.35">
      <c r="H707" s="90"/>
      <c r="I707" s="90"/>
    </row>
    <row r="708" spans="8:9" ht="15.75" customHeight="1" x14ac:dyDescent="0.35">
      <c r="H708" s="90"/>
      <c r="I708" s="90"/>
    </row>
    <row r="709" spans="8:9" ht="15.75" customHeight="1" x14ac:dyDescent="0.35">
      <c r="H709" s="90"/>
      <c r="I709" s="90"/>
    </row>
    <row r="710" spans="8:9" ht="15.75" customHeight="1" x14ac:dyDescent="0.35">
      <c r="H710" s="90"/>
      <c r="I710" s="90"/>
    </row>
    <row r="711" spans="8:9" ht="15.75" customHeight="1" x14ac:dyDescent="0.35">
      <c r="H711" s="90"/>
      <c r="I711" s="90"/>
    </row>
    <row r="712" spans="8:9" ht="15.75" customHeight="1" x14ac:dyDescent="0.35">
      <c r="H712" s="90"/>
      <c r="I712" s="90"/>
    </row>
    <row r="713" spans="8:9" ht="15.75" customHeight="1" x14ac:dyDescent="0.35">
      <c r="H713" s="90"/>
      <c r="I713" s="90"/>
    </row>
    <row r="714" spans="8:9" ht="15.75" customHeight="1" x14ac:dyDescent="0.35">
      <c r="H714" s="90"/>
      <c r="I714" s="90"/>
    </row>
    <row r="715" spans="8:9" ht="15.75" customHeight="1" x14ac:dyDescent="0.35">
      <c r="H715" s="90"/>
      <c r="I715" s="90"/>
    </row>
    <row r="716" spans="8:9" ht="15.75" customHeight="1" x14ac:dyDescent="0.35">
      <c r="H716" s="90"/>
      <c r="I716" s="90"/>
    </row>
    <row r="717" spans="8:9" ht="15.75" customHeight="1" x14ac:dyDescent="0.35">
      <c r="H717" s="90"/>
      <c r="I717" s="90"/>
    </row>
    <row r="718" spans="8:9" ht="15.75" customHeight="1" x14ac:dyDescent="0.35">
      <c r="H718" s="90"/>
      <c r="I718" s="90"/>
    </row>
    <row r="719" spans="8:9" ht="15.75" customHeight="1" x14ac:dyDescent="0.35">
      <c r="H719" s="90"/>
      <c r="I719" s="90"/>
    </row>
    <row r="720" spans="8:9" ht="15.75" customHeight="1" x14ac:dyDescent="0.35">
      <c r="H720" s="90"/>
      <c r="I720" s="90"/>
    </row>
    <row r="721" spans="8:9" ht="15.75" customHeight="1" x14ac:dyDescent="0.35">
      <c r="H721" s="90"/>
      <c r="I721" s="90"/>
    </row>
    <row r="722" spans="8:9" ht="15.75" customHeight="1" x14ac:dyDescent="0.35">
      <c r="H722" s="90"/>
      <c r="I722" s="90"/>
    </row>
    <row r="723" spans="8:9" ht="15.75" customHeight="1" x14ac:dyDescent="0.35">
      <c r="H723" s="90"/>
      <c r="I723" s="90"/>
    </row>
    <row r="724" spans="8:9" ht="15.75" customHeight="1" x14ac:dyDescent="0.35">
      <c r="H724" s="90"/>
      <c r="I724" s="90"/>
    </row>
    <row r="725" spans="8:9" ht="15.75" customHeight="1" x14ac:dyDescent="0.35">
      <c r="H725" s="90"/>
      <c r="I725" s="90"/>
    </row>
    <row r="726" spans="8:9" ht="15.75" customHeight="1" x14ac:dyDescent="0.35">
      <c r="H726" s="90"/>
      <c r="I726" s="90"/>
    </row>
    <row r="727" spans="8:9" ht="15.75" customHeight="1" x14ac:dyDescent="0.35">
      <c r="H727" s="90"/>
      <c r="I727" s="90"/>
    </row>
    <row r="728" spans="8:9" ht="15.75" customHeight="1" x14ac:dyDescent="0.35">
      <c r="H728" s="90"/>
      <c r="I728" s="90"/>
    </row>
    <row r="729" spans="8:9" ht="15.75" customHeight="1" x14ac:dyDescent="0.35">
      <c r="H729" s="90"/>
      <c r="I729" s="90"/>
    </row>
    <row r="730" spans="8:9" ht="15.75" customHeight="1" x14ac:dyDescent="0.35">
      <c r="H730" s="90"/>
      <c r="I730" s="90"/>
    </row>
    <row r="731" spans="8:9" ht="15.75" customHeight="1" x14ac:dyDescent="0.35">
      <c r="H731" s="90"/>
      <c r="I731" s="90"/>
    </row>
    <row r="732" spans="8:9" ht="15.75" customHeight="1" x14ac:dyDescent="0.35">
      <c r="H732" s="90"/>
      <c r="I732" s="90"/>
    </row>
    <row r="733" spans="8:9" ht="15.75" customHeight="1" x14ac:dyDescent="0.35">
      <c r="H733" s="90"/>
      <c r="I733" s="90"/>
    </row>
    <row r="734" spans="8:9" ht="15.75" customHeight="1" x14ac:dyDescent="0.35">
      <c r="H734" s="90"/>
      <c r="I734" s="90"/>
    </row>
    <row r="735" spans="8:9" ht="15.75" customHeight="1" x14ac:dyDescent="0.35">
      <c r="H735" s="90"/>
      <c r="I735" s="90"/>
    </row>
    <row r="736" spans="8:9" ht="15.75" customHeight="1" x14ac:dyDescent="0.35">
      <c r="H736" s="90"/>
      <c r="I736" s="90"/>
    </row>
    <row r="737" spans="8:9" ht="15.75" customHeight="1" x14ac:dyDescent="0.35">
      <c r="H737" s="90"/>
      <c r="I737" s="90"/>
    </row>
    <row r="738" spans="8:9" ht="15.75" customHeight="1" x14ac:dyDescent="0.35">
      <c r="H738" s="90"/>
      <c r="I738" s="90"/>
    </row>
    <row r="739" spans="8:9" ht="15.75" customHeight="1" x14ac:dyDescent="0.35">
      <c r="H739" s="90"/>
      <c r="I739" s="90"/>
    </row>
    <row r="740" spans="8:9" ht="15.75" customHeight="1" x14ac:dyDescent="0.35">
      <c r="H740" s="90"/>
      <c r="I740" s="90"/>
    </row>
    <row r="741" spans="8:9" ht="15.75" customHeight="1" x14ac:dyDescent="0.35">
      <c r="H741" s="90"/>
      <c r="I741" s="90"/>
    </row>
    <row r="742" spans="8:9" ht="15.75" customHeight="1" x14ac:dyDescent="0.35">
      <c r="H742" s="90"/>
      <c r="I742" s="90"/>
    </row>
    <row r="743" spans="8:9" ht="15.75" customHeight="1" x14ac:dyDescent="0.35">
      <c r="H743" s="90"/>
      <c r="I743" s="90"/>
    </row>
    <row r="744" spans="8:9" ht="15.75" customHeight="1" x14ac:dyDescent="0.35">
      <c r="H744" s="90"/>
      <c r="I744" s="90"/>
    </row>
    <row r="745" spans="8:9" ht="15.75" customHeight="1" x14ac:dyDescent="0.35">
      <c r="H745" s="90"/>
      <c r="I745" s="90"/>
    </row>
    <row r="746" spans="8:9" ht="15.75" customHeight="1" x14ac:dyDescent="0.35">
      <c r="H746" s="90"/>
      <c r="I746" s="90"/>
    </row>
    <row r="747" spans="8:9" ht="15.75" customHeight="1" x14ac:dyDescent="0.35">
      <c r="H747" s="90"/>
      <c r="I747" s="90"/>
    </row>
    <row r="748" spans="8:9" ht="15.75" customHeight="1" x14ac:dyDescent="0.35">
      <c r="H748" s="90"/>
      <c r="I748" s="90"/>
    </row>
    <row r="749" spans="8:9" ht="15.75" customHeight="1" x14ac:dyDescent="0.35">
      <c r="H749" s="90"/>
      <c r="I749" s="90"/>
    </row>
    <row r="750" spans="8:9" ht="15.75" customHeight="1" x14ac:dyDescent="0.35">
      <c r="H750" s="90"/>
      <c r="I750" s="90"/>
    </row>
    <row r="751" spans="8:9" ht="15.75" customHeight="1" x14ac:dyDescent="0.35">
      <c r="H751" s="90"/>
      <c r="I751" s="90"/>
    </row>
    <row r="752" spans="8:9" ht="15.75" customHeight="1" x14ac:dyDescent="0.35">
      <c r="H752" s="90"/>
      <c r="I752" s="90"/>
    </row>
    <row r="753" spans="8:9" ht="15.75" customHeight="1" x14ac:dyDescent="0.35">
      <c r="H753" s="90"/>
      <c r="I753" s="90"/>
    </row>
    <row r="754" spans="8:9" ht="15.75" customHeight="1" x14ac:dyDescent="0.35">
      <c r="H754" s="90"/>
      <c r="I754" s="90"/>
    </row>
    <row r="755" spans="8:9" ht="15.75" customHeight="1" x14ac:dyDescent="0.35">
      <c r="H755" s="90"/>
      <c r="I755" s="90"/>
    </row>
    <row r="756" spans="8:9" ht="15.75" customHeight="1" x14ac:dyDescent="0.35">
      <c r="H756" s="90"/>
      <c r="I756" s="90"/>
    </row>
    <row r="757" spans="8:9" ht="15.75" customHeight="1" x14ac:dyDescent="0.35">
      <c r="H757" s="90"/>
      <c r="I757" s="90"/>
    </row>
    <row r="758" spans="8:9" ht="15.75" customHeight="1" x14ac:dyDescent="0.35">
      <c r="H758" s="90"/>
      <c r="I758" s="90"/>
    </row>
    <row r="759" spans="8:9" ht="15.75" customHeight="1" x14ac:dyDescent="0.35">
      <c r="H759" s="90"/>
      <c r="I759" s="90"/>
    </row>
    <row r="760" spans="8:9" ht="15.75" customHeight="1" x14ac:dyDescent="0.35">
      <c r="H760" s="90"/>
      <c r="I760" s="90"/>
    </row>
    <row r="761" spans="8:9" ht="15.75" customHeight="1" x14ac:dyDescent="0.35">
      <c r="H761" s="90"/>
      <c r="I761" s="90"/>
    </row>
    <row r="762" spans="8:9" ht="15.75" customHeight="1" x14ac:dyDescent="0.35">
      <c r="H762" s="90"/>
      <c r="I762" s="90"/>
    </row>
    <row r="763" spans="8:9" ht="15.75" customHeight="1" x14ac:dyDescent="0.35">
      <c r="H763" s="90"/>
      <c r="I763" s="90"/>
    </row>
    <row r="764" spans="8:9" ht="15.75" customHeight="1" x14ac:dyDescent="0.35">
      <c r="H764" s="90"/>
      <c r="I764" s="90"/>
    </row>
    <row r="765" spans="8:9" ht="15.75" customHeight="1" x14ac:dyDescent="0.35">
      <c r="H765" s="90"/>
      <c r="I765" s="90"/>
    </row>
    <row r="766" spans="8:9" ht="15.75" customHeight="1" x14ac:dyDescent="0.35">
      <c r="H766" s="90"/>
      <c r="I766" s="90"/>
    </row>
    <row r="767" spans="8:9" ht="15.75" customHeight="1" x14ac:dyDescent="0.35">
      <c r="H767" s="90"/>
      <c r="I767" s="90"/>
    </row>
    <row r="768" spans="8:9" ht="15.75" customHeight="1" x14ac:dyDescent="0.35">
      <c r="H768" s="90"/>
      <c r="I768" s="90"/>
    </row>
    <row r="769" spans="8:9" ht="15.75" customHeight="1" x14ac:dyDescent="0.35">
      <c r="H769" s="90"/>
      <c r="I769" s="90"/>
    </row>
    <row r="770" spans="8:9" ht="15.75" customHeight="1" x14ac:dyDescent="0.35">
      <c r="H770" s="90"/>
      <c r="I770" s="90"/>
    </row>
    <row r="771" spans="8:9" ht="15.75" customHeight="1" x14ac:dyDescent="0.35">
      <c r="H771" s="90"/>
      <c r="I771" s="90"/>
    </row>
    <row r="772" spans="8:9" ht="15.75" customHeight="1" x14ac:dyDescent="0.35">
      <c r="H772" s="90"/>
      <c r="I772" s="90"/>
    </row>
    <row r="773" spans="8:9" ht="15.75" customHeight="1" x14ac:dyDescent="0.35">
      <c r="H773" s="90"/>
      <c r="I773" s="90"/>
    </row>
    <row r="774" spans="8:9" ht="15.75" customHeight="1" x14ac:dyDescent="0.35">
      <c r="H774" s="90"/>
      <c r="I774" s="90"/>
    </row>
    <row r="775" spans="8:9" ht="15.75" customHeight="1" x14ac:dyDescent="0.35">
      <c r="H775" s="90"/>
      <c r="I775" s="90"/>
    </row>
    <row r="776" spans="8:9" ht="15.75" customHeight="1" x14ac:dyDescent="0.35">
      <c r="H776" s="90"/>
      <c r="I776" s="90"/>
    </row>
    <row r="777" spans="8:9" ht="15.75" customHeight="1" x14ac:dyDescent="0.35">
      <c r="H777" s="90"/>
      <c r="I777" s="90"/>
    </row>
    <row r="778" spans="8:9" ht="15.75" customHeight="1" x14ac:dyDescent="0.35">
      <c r="H778" s="90"/>
      <c r="I778" s="90"/>
    </row>
    <row r="779" spans="8:9" ht="15.75" customHeight="1" x14ac:dyDescent="0.35">
      <c r="H779" s="90"/>
      <c r="I779" s="90"/>
    </row>
    <row r="780" spans="8:9" ht="15.75" customHeight="1" x14ac:dyDescent="0.35">
      <c r="H780" s="90"/>
      <c r="I780" s="90"/>
    </row>
    <row r="781" spans="8:9" ht="15.75" customHeight="1" x14ac:dyDescent="0.35">
      <c r="H781" s="90"/>
      <c r="I781" s="90"/>
    </row>
    <row r="782" spans="8:9" ht="15.75" customHeight="1" x14ac:dyDescent="0.35">
      <c r="H782" s="90"/>
      <c r="I782" s="90"/>
    </row>
    <row r="783" spans="8:9" ht="15.75" customHeight="1" x14ac:dyDescent="0.35">
      <c r="H783" s="90"/>
      <c r="I783" s="90"/>
    </row>
    <row r="784" spans="8:9" ht="15.75" customHeight="1" x14ac:dyDescent="0.35">
      <c r="H784" s="90"/>
      <c r="I784" s="90"/>
    </row>
    <row r="785" spans="8:9" ht="15.75" customHeight="1" x14ac:dyDescent="0.35">
      <c r="H785" s="90"/>
      <c r="I785" s="90"/>
    </row>
    <row r="786" spans="8:9" ht="15.75" customHeight="1" x14ac:dyDescent="0.35">
      <c r="H786" s="90"/>
      <c r="I786" s="90"/>
    </row>
    <row r="787" spans="8:9" ht="15.75" customHeight="1" x14ac:dyDescent="0.35">
      <c r="H787" s="90"/>
      <c r="I787" s="90"/>
    </row>
    <row r="788" spans="8:9" ht="15.75" customHeight="1" x14ac:dyDescent="0.35">
      <c r="H788" s="90"/>
      <c r="I788" s="90"/>
    </row>
    <row r="789" spans="8:9" ht="15.75" customHeight="1" x14ac:dyDescent="0.35">
      <c r="H789" s="90"/>
      <c r="I789" s="90"/>
    </row>
    <row r="790" spans="8:9" ht="15.75" customHeight="1" x14ac:dyDescent="0.35">
      <c r="H790" s="90"/>
      <c r="I790" s="90"/>
    </row>
    <row r="791" spans="8:9" ht="15.75" customHeight="1" x14ac:dyDescent="0.35">
      <c r="H791" s="90"/>
      <c r="I791" s="90"/>
    </row>
    <row r="792" spans="8:9" ht="15.75" customHeight="1" x14ac:dyDescent="0.35">
      <c r="H792" s="90"/>
      <c r="I792" s="90"/>
    </row>
    <row r="793" spans="8:9" ht="15.75" customHeight="1" x14ac:dyDescent="0.35">
      <c r="H793" s="90"/>
      <c r="I793" s="90"/>
    </row>
    <row r="794" spans="8:9" ht="15.75" customHeight="1" x14ac:dyDescent="0.35">
      <c r="H794" s="90"/>
      <c r="I794" s="90"/>
    </row>
    <row r="795" spans="8:9" ht="15.75" customHeight="1" x14ac:dyDescent="0.35">
      <c r="H795" s="90"/>
      <c r="I795" s="90"/>
    </row>
    <row r="796" spans="8:9" ht="15.75" customHeight="1" x14ac:dyDescent="0.35">
      <c r="H796" s="90"/>
      <c r="I796" s="90"/>
    </row>
    <row r="797" spans="8:9" ht="15.75" customHeight="1" x14ac:dyDescent="0.35">
      <c r="H797" s="90"/>
      <c r="I797" s="90"/>
    </row>
    <row r="798" spans="8:9" ht="15.75" customHeight="1" x14ac:dyDescent="0.35">
      <c r="H798" s="90"/>
      <c r="I798" s="90"/>
    </row>
    <row r="799" spans="8:9" ht="15.75" customHeight="1" x14ac:dyDescent="0.35">
      <c r="H799" s="90"/>
      <c r="I799" s="90"/>
    </row>
    <row r="800" spans="8:9" ht="15.75" customHeight="1" x14ac:dyDescent="0.35">
      <c r="H800" s="90"/>
      <c r="I800" s="90"/>
    </row>
    <row r="801" spans="8:9" ht="15.75" customHeight="1" x14ac:dyDescent="0.35">
      <c r="H801" s="90"/>
      <c r="I801" s="90"/>
    </row>
    <row r="802" spans="8:9" ht="15.75" customHeight="1" x14ac:dyDescent="0.35">
      <c r="H802" s="90"/>
      <c r="I802" s="90"/>
    </row>
    <row r="803" spans="8:9" ht="15.75" customHeight="1" x14ac:dyDescent="0.35">
      <c r="H803" s="90"/>
      <c r="I803" s="90"/>
    </row>
    <row r="804" spans="8:9" ht="15.75" customHeight="1" x14ac:dyDescent="0.35">
      <c r="H804" s="90"/>
      <c r="I804" s="90"/>
    </row>
    <row r="805" spans="8:9" ht="15.75" customHeight="1" x14ac:dyDescent="0.35">
      <c r="H805" s="90"/>
      <c r="I805" s="90"/>
    </row>
    <row r="806" spans="8:9" ht="15.75" customHeight="1" x14ac:dyDescent="0.35">
      <c r="H806" s="90"/>
      <c r="I806" s="90"/>
    </row>
    <row r="807" spans="8:9" ht="15.75" customHeight="1" x14ac:dyDescent="0.35">
      <c r="H807" s="90"/>
      <c r="I807" s="90"/>
    </row>
    <row r="808" spans="8:9" ht="15.75" customHeight="1" x14ac:dyDescent="0.35">
      <c r="H808" s="90"/>
      <c r="I808" s="90"/>
    </row>
    <row r="809" spans="8:9" ht="15.75" customHeight="1" x14ac:dyDescent="0.35">
      <c r="H809" s="90"/>
      <c r="I809" s="90"/>
    </row>
    <row r="810" spans="8:9" ht="15.75" customHeight="1" x14ac:dyDescent="0.35">
      <c r="H810" s="90"/>
      <c r="I810" s="90"/>
    </row>
    <row r="811" spans="8:9" ht="15.75" customHeight="1" x14ac:dyDescent="0.35">
      <c r="H811" s="90"/>
      <c r="I811" s="90"/>
    </row>
    <row r="812" spans="8:9" ht="15.75" customHeight="1" x14ac:dyDescent="0.35">
      <c r="H812" s="90"/>
      <c r="I812" s="90"/>
    </row>
    <row r="813" spans="8:9" ht="15.75" customHeight="1" x14ac:dyDescent="0.35">
      <c r="H813" s="90"/>
      <c r="I813" s="90"/>
    </row>
    <row r="814" spans="8:9" ht="15.75" customHeight="1" x14ac:dyDescent="0.35">
      <c r="H814" s="90"/>
      <c r="I814" s="90"/>
    </row>
    <row r="815" spans="8:9" ht="15.75" customHeight="1" x14ac:dyDescent="0.35">
      <c r="H815" s="90"/>
      <c r="I815" s="90"/>
    </row>
    <row r="816" spans="8:9" ht="15.75" customHeight="1" x14ac:dyDescent="0.35">
      <c r="H816" s="90"/>
      <c r="I816" s="90"/>
    </row>
    <row r="817" spans="8:9" ht="15.75" customHeight="1" x14ac:dyDescent="0.35">
      <c r="H817" s="90"/>
      <c r="I817" s="90"/>
    </row>
    <row r="818" spans="8:9" ht="15.75" customHeight="1" x14ac:dyDescent="0.35">
      <c r="H818" s="90"/>
      <c r="I818" s="90"/>
    </row>
    <row r="819" spans="8:9" ht="15.75" customHeight="1" x14ac:dyDescent="0.35">
      <c r="H819" s="90"/>
      <c r="I819" s="90"/>
    </row>
    <row r="820" spans="8:9" ht="15.75" customHeight="1" x14ac:dyDescent="0.35">
      <c r="H820" s="90"/>
      <c r="I820" s="90"/>
    </row>
    <row r="821" spans="8:9" ht="15.75" customHeight="1" x14ac:dyDescent="0.35">
      <c r="H821" s="90"/>
      <c r="I821" s="90"/>
    </row>
    <row r="822" spans="8:9" ht="15.75" customHeight="1" x14ac:dyDescent="0.35">
      <c r="H822" s="90"/>
      <c r="I822" s="90"/>
    </row>
    <row r="823" spans="8:9" ht="15.75" customHeight="1" x14ac:dyDescent="0.35">
      <c r="H823" s="90"/>
      <c r="I823" s="90"/>
    </row>
    <row r="824" spans="8:9" ht="15.75" customHeight="1" x14ac:dyDescent="0.35">
      <c r="H824" s="90"/>
      <c r="I824" s="90"/>
    </row>
    <row r="825" spans="8:9" ht="15.75" customHeight="1" x14ac:dyDescent="0.35">
      <c r="H825" s="90"/>
      <c r="I825" s="90"/>
    </row>
    <row r="826" spans="8:9" ht="15.75" customHeight="1" x14ac:dyDescent="0.35">
      <c r="H826" s="90"/>
      <c r="I826" s="90"/>
    </row>
    <row r="827" spans="8:9" ht="15.75" customHeight="1" x14ac:dyDescent="0.35">
      <c r="H827" s="90"/>
      <c r="I827" s="90"/>
    </row>
    <row r="828" spans="8:9" ht="15.75" customHeight="1" x14ac:dyDescent="0.35">
      <c r="H828" s="90"/>
      <c r="I828" s="90"/>
    </row>
    <row r="829" spans="8:9" ht="15.75" customHeight="1" x14ac:dyDescent="0.35">
      <c r="H829" s="90"/>
      <c r="I829" s="90"/>
    </row>
    <row r="830" spans="8:9" ht="15.75" customHeight="1" x14ac:dyDescent="0.35">
      <c r="H830" s="90"/>
      <c r="I830" s="90"/>
    </row>
    <row r="831" spans="8:9" ht="15.75" customHeight="1" x14ac:dyDescent="0.35">
      <c r="H831" s="90"/>
      <c r="I831" s="90"/>
    </row>
    <row r="832" spans="8:9" ht="15.75" customHeight="1" x14ac:dyDescent="0.35">
      <c r="H832" s="90"/>
      <c r="I832" s="90"/>
    </row>
    <row r="833" spans="8:9" ht="15.75" customHeight="1" x14ac:dyDescent="0.35">
      <c r="H833" s="90"/>
      <c r="I833" s="90"/>
    </row>
    <row r="834" spans="8:9" ht="15.75" customHeight="1" x14ac:dyDescent="0.35">
      <c r="H834" s="90"/>
      <c r="I834" s="90"/>
    </row>
    <row r="835" spans="8:9" ht="15.75" customHeight="1" x14ac:dyDescent="0.35">
      <c r="H835" s="90"/>
      <c r="I835" s="90"/>
    </row>
    <row r="836" spans="8:9" ht="15.75" customHeight="1" x14ac:dyDescent="0.35">
      <c r="H836" s="90"/>
      <c r="I836" s="90"/>
    </row>
    <row r="837" spans="8:9" ht="15.75" customHeight="1" x14ac:dyDescent="0.35">
      <c r="H837" s="90"/>
      <c r="I837" s="90"/>
    </row>
    <row r="838" spans="8:9" ht="15.75" customHeight="1" x14ac:dyDescent="0.35">
      <c r="H838" s="90"/>
      <c r="I838" s="90"/>
    </row>
    <row r="839" spans="8:9" ht="15.75" customHeight="1" x14ac:dyDescent="0.35">
      <c r="H839" s="90"/>
      <c r="I839" s="90"/>
    </row>
    <row r="840" spans="8:9" ht="15.75" customHeight="1" x14ac:dyDescent="0.35">
      <c r="H840" s="90"/>
      <c r="I840" s="90"/>
    </row>
    <row r="841" spans="8:9" ht="15.75" customHeight="1" x14ac:dyDescent="0.35">
      <c r="H841" s="90"/>
      <c r="I841" s="90"/>
    </row>
    <row r="842" spans="8:9" ht="15.75" customHeight="1" x14ac:dyDescent="0.35">
      <c r="H842" s="90"/>
      <c r="I842" s="90"/>
    </row>
    <row r="843" spans="8:9" ht="15.75" customHeight="1" x14ac:dyDescent="0.35">
      <c r="H843" s="90"/>
      <c r="I843" s="90"/>
    </row>
    <row r="844" spans="8:9" ht="15.75" customHeight="1" x14ac:dyDescent="0.35">
      <c r="H844" s="90"/>
      <c r="I844" s="90"/>
    </row>
    <row r="845" spans="8:9" ht="15.75" customHeight="1" x14ac:dyDescent="0.35">
      <c r="H845" s="90"/>
      <c r="I845" s="90"/>
    </row>
    <row r="846" spans="8:9" ht="15.75" customHeight="1" x14ac:dyDescent="0.35">
      <c r="H846" s="90"/>
      <c r="I846" s="90"/>
    </row>
    <row r="847" spans="8:9" ht="15.75" customHeight="1" x14ac:dyDescent="0.35">
      <c r="H847" s="90"/>
      <c r="I847" s="90"/>
    </row>
    <row r="848" spans="8:9" ht="15.75" customHeight="1" x14ac:dyDescent="0.35">
      <c r="H848" s="90"/>
      <c r="I848" s="90"/>
    </row>
    <row r="849" spans="8:9" ht="15.75" customHeight="1" x14ac:dyDescent="0.35">
      <c r="H849" s="90"/>
      <c r="I849" s="90"/>
    </row>
    <row r="850" spans="8:9" ht="15.75" customHeight="1" x14ac:dyDescent="0.35">
      <c r="H850" s="90"/>
      <c r="I850" s="90"/>
    </row>
    <row r="851" spans="8:9" ht="15.75" customHeight="1" x14ac:dyDescent="0.35">
      <c r="H851" s="90"/>
      <c r="I851" s="90"/>
    </row>
    <row r="852" spans="8:9" ht="15.75" customHeight="1" x14ac:dyDescent="0.35">
      <c r="H852" s="90"/>
      <c r="I852" s="90"/>
    </row>
    <row r="853" spans="8:9" ht="15.75" customHeight="1" x14ac:dyDescent="0.35">
      <c r="H853" s="90"/>
      <c r="I853" s="90"/>
    </row>
    <row r="854" spans="8:9" ht="15.75" customHeight="1" x14ac:dyDescent="0.35">
      <c r="H854" s="90"/>
      <c r="I854" s="90"/>
    </row>
    <row r="855" spans="8:9" ht="15.75" customHeight="1" x14ac:dyDescent="0.35">
      <c r="H855" s="90"/>
      <c r="I855" s="90"/>
    </row>
    <row r="856" spans="8:9" ht="15.75" customHeight="1" x14ac:dyDescent="0.35">
      <c r="H856" s="90"/>
      <c r="I856" s="90"/>
    </row>
    <row r="857" spans="8:9" ht="15.75" customHeight="1" x14ac:dyDescent="0.35">
      <c r="H857" s="90"/>
      <c r="I857" s="90"/>
    </row>
    <row r="858" spans="8:9" ht="15.75" customHeight="1" x14ac:dyDescent="0.35">
      <c r="H858" s="90"/>
      <c r="I858" s="90"/>
    </row>
    <row r="859" spans="8:9" ht="15.75" customHeight="1" x14ac:dyDescent="0.35">
      <c r="H859" s="90"/>
      <c r="I859" s="90"/>
    </row>
    <row r="860" spans="8:9" ht="15.75" customHeight="1" x14ac:dyDescent="0.35">
      <c r="H860" s="90"/>
      <c r="I860" s="90"/>
    </row>
    <row r="861" spans="8:9" ht="15.75" customHeight="1" x14ac:dyDescent="0.35">
      <c r="H861" s="90"/>
      <c r="I861" s="90"/>
    </row>
    <row r="862" spans="8:9" ht="15.75" customHeight="1" x14ac:dyDescent="0.35">
      <c r="H862" s="90"/>
      <c r="I862" s="90"/>
    </row>
    <row r="863" spans="8:9" ht="15.75" customHeight="1" x14ac:dyDescent="0.35">
      <c r="H863" s="90"/>
      <c r="I863" s="90"/>
    </row>
    <row r="864" spans="8:9" ht="15.75" customHeight="1" x14ac:dyDescent="0.35">
      <c r="H864" s="90"/>
      <c r="I864" s="90"/>
    </row>
    <row r="865" spans="8:9" ht="15.75" customHeight="1" x14ac:dyDescent="0.35">
      <c r="H865" s="90"/>
      <c r="I865" s="90"/>
    </row>
    <row r="866" spans="8:9" ht="15.75" customHeight="1" x14ac:dyDescent="0.35">
      <c r="H866" s="90"/>
      <c r="I866" s="90"/>
    </row>
    <row r="867" spans="8:9" ht="15.75" customHeight="1" x14ac:dyDescent="0.35">
      <c r="H867" s="90"/>
      <c r="I867" s="90"/>
    </row>
    <row r="868" spans="8:9" ht="15.75" customHeight="1" x14ac:dyDescent="0.35">
      <c r="H868" s="90"/>
      <c r="I868" s="90"/>
    </row>
    <row r="869" spans="8:9" ht="15.75" customHeight="1" x14ac:dyDescent="0.35">
      <c r="H869" s="90"/>
      <c r="I869" s="90"/>
    </row>
    <row r="870" spans="8:9" ht="15.75" customHeight="1" x14ac:dyDescent="0.35">
      <c r="H870" s="90"/>
      <c r="I870" s="90"/>
    </row>
    <row r="871" spans="8:9" ht="15.75" customHeight="1" x14ac:dyDescent="0.35">
      <c r="H871" s="90"/>
      <c r="I871" s="90"/>
    </row>
    <row r="872" spans="8:9" ht="15.75" customHeight="1" x14ac:dyDescent="0.35">
      <c r="H872" s="90"/>
      <c r="I872" s="90"/>
    </row>
    <row r="873" spans="8:9" ht="15.75" customHeight="1" x14ac:dyDescent="0.35">
      <c r="H873" s="90"/>
      <c r="I873" s="90"/>
    </row>
    <row r="874" spans="8:9" ht="15.75" customHeight="1" x14ac:dyDescent="0.35">
      <c r="H874" s="90"/>
      <c r="I874" s="90"/>
    </row>
    <row r="875" spans="8:9" ht="15.75" customHeight="1" x14ac:dyDescent="0.35">
      <c r="H875" s="90"/>
      <c r="I875" s="90"/>
    </row>
    <row r="876" spans="8:9" ht="15.75" customHeight="1" x14ac:dyDescent="0.35">
      <c r="H876" s="90"/>
      <c r="I876" s="90"/>
    </row>
    <row r="877" spans="8:9" ht="15.75" customHeight="1" x14ac:dyDescent="0.35">
      <c r="H877" s="90"/>
      <c r="I877" s="90"/>
    </row>
    <row r="878" spans="8:9" ht="15.75" customHeight="1" x14ac:dyDescent="0.35">
      <c r="H878" s="90"/>
      <c r="I878" s="90"/>
    </row>
    <row r="879" spans="8:9" ht="15.75" customHeight="1" x14ac:dyDescent="0.35">
      <c r="H879" s="90"/>
      <c r="I879" s="90"/>
    </row>
    <row r="880" spans="8:9" ht="15.75" customHeight="1" x14ac:dyDescent="0.35">
      <c r="H880" s="90"/>
      <c r="I880" s="90"/>
    </row>
    <row r="881" spans="8:9" ht="15.75" customHeight="1" x14ac:dyDescent="0.35">
      <c r="H881" s="90"/>
      <c r="I881" s="90"/>
    </row>
    <row r="882" spans="8:9" ht="15.75" customHeight="1" x14ac:dyDescent="0.35">
      <c r="H882" s="90"/>
      <c r="I882" s="90"/>
    </row>
    <row r="883" spans="8:9" ht="15.75" customHeight="1" x14ac:dyDescent="0.35">
      <c r="H883" s="90"/>
      <c r="I883" s="90"/>
    </row>
    <row r="884" spans="8:9" ht="15.75" customHeight="1" x14ac:dyDescent="0.35">
      <c r="H884" s="90"/>
      <c r="I884" s="90"/>
    </row>
    <row r="885" spans="8:9" ht="15.75" customHeight="1" x14ac:dyDescent="0.35">
      <c r="H885" s="90"/>
      <c r="I885" s="90"/>
    </row>
    <row r="886" spans="8:9" ht="15.75" customHeight="1" x14ac:dyDescent="0.35">
      <c r="H886" s="90"/>
      <c r="I886" s="90"/>
    </row>
    <row r="887" spans="8:9" ht="15.75" customHeight="1" x14ac:dyDescent="0.35">
      <c r="H887" s="90"/>
      <c r="I887" s="90"/>
    </row>
    <row r="888" spans="8:9" ht="15.75" customHeight="1" x14ac:dyDescent="0.35">
      <c r="H888" s="90"/>
      <c r="I888" s="90"/>
    </row>
    <row r="889" spans="8:9" ht="15.75" customHeight="1" x14ac:dyDescent="0.35">
      <c r="H889" s="90"/>
      <c r="I889" s="90"/>
    </row>
    <row r="890" spans="8:9" ht="15.75" customHeight="1" x14ac:dyDescent="0.35">
      <c r="H890" s="90"/>
      <c r="I890" s="90"/>
    </row>
    <row r="891" spans="8:9" ht="15.75" customHeight="1" x14ac:dyDescent="0.35">
      <c r="H891" s="90"/>
      <c r="I891" s="90"/>
    </row>
    <row r="892" spans="8:9" ht="15.75" customHeight="1" x14ac:dyDescent="0.35">
      <c r="H892" s="90"/>
      <c r="I892" s="90"/>
    </row>
    <row r="893" spans="8:9" ht="15.75" customHeight="1" x14ac:dyDescent="0.35">
      <c r="H893" s="90"/>
      <c r="I893" s="90"/>
    </row>
    <row r="894" spans="8:9" ht="15.75" customHeight="1" x14ac:dyDescent="0.35">
      <c r="H894" s="90"/>
      <c r="I894" s="90"/>
    </row>
    <row r="895" spans="8:9" ht="15.75" customHeight="1" x14ac:dyDescent="0.35">
      <c r="H895" s="90"/>
      <c r="I895" s="90"/>
    </row>
    <row r="896" spans="8:9" ht="15.75" customHeight="1" x14ac:dyDescent="0.35">
      <c r="H896" s="90"/>
      <c r="I896" s="90"/>
    </row>
    <row r="897" spans="8:9" ht="15.75" customHeight="1" x14ac:dyDescent="0.35">
      <c r="H897" s="90"/>
      <c r="I897" s="90"/>
    </row>
    <row r="898" spans="8:9" ht="15.75" customHeight="1" x14ac:dyDescent="0.35">
      <c r="H898" s="90"/>
      <c r="I898" s="90"/>
    </row>
    <row r="899" spans="8:9" ht="15.75" customHeight="1" x14ac:dyDescent="0.35">
      <c r="H899" s="90"/>
      <c r="I899" s="90"/>
    </row>
    <row r="900" spans="8:9" ht="15.75" customHeight="1" x14ac:dyDescent="0.35">
      <c r="H900" s="90"/>
      <c r="I900" s="90"/>
    </row>
    <row r="901" spans="8:9" ht="15.75" customHeight="1" x14ac:dyDescent="0.35">
      <c r="H901" s="90"/>
      <c r="I901" s="90"/>
    </row>
    <row r="902" spans="8:9" ht="15.75" customHeight="1" x14ac:dyDescent="0.35">
      <c r="H902" s="90"/>
      <c r="I902" s="90"/>
    </row>
    <row r="903" spans="8:9" ht="15.75" customHeight="1" x14ac:dyDescent="0.35">
      <c r="H903" s="90"/>
      <c r="I903" s="90"/>
    </row>
    <row r="904" spans="8:9" ht="15.75" customHeight="1" x14ac:dyDescent="0.35">
      <c r="H904" s="90"/>
      <c r="I904" s="90"/>
    </row>
    <row r="905" spans="8:9" ht="15.75" customHeight="1" x14ac:dyDescent="0.35">
      <c r="H905" s="90"/>
      <c r="I905" s="90"/>
    </row>
    <row r="906" spans="8:9" ht="15.75" customHeight="1" x14ac:dyDescent="0.35">
      <c r="H906" s="90"/>
      <c r="I906" s="90"/>
    </row>
    <row r="907" spans="8:9" ht="15.75" customHeight="1" x14ac:dyDescent="0.35">
      <c r="H907" s="90"/>
      <c r="I907" s="90"/>
    </row>
    <row r="908" spans="8:9" ht="15.75" customHeight="1" x14ac:dyDescent="0.35">
      <c r="H908" s="90"/>
      <c r="I908" s="90"/>
    </row>
    <row r="909" spans="8:9" ht="15.75" customHeight="1" x14ac:dyDescent="0.35">
      <c r="H909" s="90"/>
      <c r="I909" s="90"/>
    </row>
    <row r="910" spans="8:9" ht="15.75" customHeight="1" x14ac:dyDescent="0.35">
      <c r="H910" s="90"/>
      <c r="I910" s="90"/>
    </row>
    <row r="911" spans="8:9" ht="15.75" customHeight="1" x14ac:dyDescent="0.35">
      <c r="H911" s="90"/>
      <c r="I911" s="90"/>
    </row>
    <row r="912" spans="8:9" ht="15.75" customHeight="1" x14ac:dyDescent="0.35">
      <c r="H912" s="90"/>
      <c r="I912" s="90"/>
    </row>
    <row r="913" spans="8:9" ht="15.75" customHeight="1" x14ac:dyDescent="0.35">
      <c r="H913" s="90"/>
      <c r="I913" s="90"/>
    </row>
    <row r="914" spans="8:9" ht="15.75" customHeight="1" x14ac:dyDescent="0.35">
      <c r="H914" s="90"/>
      <c r="I914" s="90"/>
    </row>
    <row r="915" spans="8:9" ht="15.75" customHeight="1" x14ac:dyDescent="0.35">
      <c r="H915" s="90"/>
      <c r="I915" s="90"/>
    </row>
    <row r="916" spans="8:9" ht="15.75" customHeight="1" x14ac:dyDescent="0.35">
      <c r="H916" s="90"/>
      <c r="I916" s="90"/>
    </row>
    <row r="917" spans="8:9" ht="15.75" customHeight="1" x14ac:dyDescent="0.35">
      <c r="H917" s="90"/>
      <c r="I917" s="90"/>
    </row>
    <row r="918" spans="8:9" ht="15.75" customHeight="1" x14ac:dyDescent="0.35">
      <c r="H918" s="90"/>
      <c r="I918" s="90"/>
    </row>
    <row r="919" spans="8:9" ht="15.75" customHeight="1" x14ac:dyDescent="0.35">
      <c r="H919" s="90"/>
      <c r="I919" s="90"/>
    </row>
    <row r="920" spans="8:9" ht="15.75" customHeight="1" x14ac:dyDescent="0.35">
      <c r="H920" s="90"/>
      <c r="I920" s="90"/>
    </row>
    <row r="921" spans="8:9" ht="15.75" customHeight="1" x14ac:dyDescent="0.35">
      <c r="H921" s="90"/>
      <c r="I921" s="90"/>
    </row>
    <row r="922" spans="8:9" ht="15.75" customHeight="1" x14ac:dyDescent="0.35">
      <c r="H922" s="90"/>
      <c r="I922" s="90"/>
    </row>
    <row r="923" spans="8:9" ht="15.75" customHeight="1" x14ac:dyDescent="0.35">
      <c r="H923" s="90"/>
      <c r="I923" s="90"/>
    </row>
    <row r="924" spans="8:9" ht="15.75" customHeight="1" x14ac:dyDescent="0.35">
      <c r="H924" s="90"/>
      <c r="I924" s="90"/>
    </row>
    <row r="925" spans="8:9" ht="15.75" customHeight="1" x14ac:dyDescent="0.35">
      <c r="H925" s="90"/>
      <c r="I925" s="90"/>
    </row>
    <row r="926" spans="8:9" ht="15.75" customHeight="1" x14ac:dyDescent="0.35">
      <c r="H926" s="90"/>
      <c r="I926" s="90"/>
    </row>
    <row r="927" spans="8:9" ht="15.75" customHeight="1" x14ac:dyDescent="0.35">
      <c r="H927" s="90"/>
      <c r="I927" s="90"/>
    </row>
    <row r="928" spans="8:9" ht="15.75" customHeight="1" x14ac:dyDescent="0.35">
      <c r="H928" s="90"/>
      <c r="I928" s="90"/>
    </row>
    <row r="929" spans="8:9" ht="15.75" customHeight="1" x14ac:dyDescent="0.35">
      <c r="H929" s="90"/>
      <c r="I929" s="90"/>
    </row>
    <row r="930" spans="8:9" ht="15.75" customHeight="1" x14ac:dyDescent="0.35">
      <c r="H930" s="90"/>
      <c r="I930" s="90"/>
    </row>
    <row r="931" spans="8:9" ht="15.75" customHeight="1" x14ac:dyDescent="0.35">
      <c r="H931" s="90"/>
      <c r="I931" s="90"/>
    </row>
    <row r="932" spans="8:9" ht="15.75" customHeight="1" x14ac:dyDescent="0.35">
      <c r="H932" s="90"/>
      <c r="I932" s="90"/>
    </row>
    <row r="933" spans="8:9" ht="15.75" customHeight="1" x14ac:dyDescent="0.35">
      <c r="H933" s="90"/>
      <c r="I933" s="90"/>
    </row>
    <row r="934" spans="8:9" ht="15.75" customHeight="1" x14ac:dyDescent="0.35">
      <c r="H934" s="90"/>
      <c r="I934" s="90"/>
    </row>
    <row r="935" spans="8:9" ht="15.75" customHeight="1" x14ac:dyDescent="0.35">
      <c r="H935" s="90"/>
      <c r="I935" s="90"/>
    </row>
    <row r="936" spans="8:9" ht="15.75" customHeight="1" x14ac:dyDescent="0.35">
      <c r="H936" s="90"/>
      <c r="I936" s="90"/>
    </row>
    <row r="937" spans="8:9" ht="15.75" customHeight="1" x14ac:dyDescent="0.35">
      <c r="H937" s="90"/>
      <c r="I937" s="90"/>
    </row>
    <row r="938" spans="8:9" ht="15.75" customHeight="1" x14ac:dyDescent="0.35">
      <c r="H938" s="90"/>
      <c r="I938" s="90"/>
    </row>
    <row r="939" spans="8:9" ht="15.75" customHeight="1" x14ac:dyDescent="0.35">
      <c r="H939" s="90"/>
      <c r="I939" s="90"/>
    </row>
    <row r="940" spans="8:9" ht="15.75" customHeight="1" x14ac:dyDescent="0.35">
      <c r="H940" s="90"/>
      <c r="I940" s="90"/>
    </row>
    <row r="941" spans="8:9" ht="15.75" customHeight="1" x14ac:dyDescent="0.35">
      <c r="H941" s="90"/>
      <c r="I941" s="90"/>
    </row>
    <row r="942" spans="8:9" ht="15.75" customHeight="1" x14ac:dyDescent="0.35">
      <c r="H942" s="90"/>
      <c r="I942" s="90"/>
    </row>
    <row r="943" spans="8:9" ht="15.75" customHeight="1" x14ac:dyDescent="0.35">
      <c r="H943" s="90"/>
      <c r="I943" s="90"/>
    </row>
    <row r="944" spans="8:9" ht="15.75" customHeight="1" x14ac:dyDescent="0.35">
      <c r="H944" s="90"/>
      <c r="I944" s="90"/>
    </row>
    <row r="945" spans="8:9" ht="15.75" customHeight="1" x14ac:dyDescent="0.35">
      <c r="H945" s="90"/>
      <c r="I945" s="90"/>
    </row>
    <row r="946" spans="8:9" ht="15.75" customHeight="1" x14ac:dyDescent="0.35">
      <c r="H946" s="90"/>
      <c r="I946" s="90"/>
    </row>
    <row r="947" spans="8:9" ht="15.75" customHeight="1" x14ac:dyDescent="0.35">
      <c r="H947" s="90"/>
      <c r="I947" s="90"/>
    </row>
    <row r="948" spans="8:9" ht="15.75" customHeight="1" x14ac:dyDescent="0.35">
      <c r="H948" s="90"/>
      <c r="I948" s="90"/>
    </row>
    <row r="949" spans="8:9" ht="15.75" customHeight="1" x14ac:dyDescent="0.35">
      <c r="H949" s="90"/>
      <c r="I949" s="90"/>
    </row>
    <row r="950" spans="8:9" ht="15.75" customHeight="1" x14ac:dyDescent="0.35">
      <c r="H950" s="90"/>
      <c r="I950" s="90"/>
    </row>
    <row r="951" spans="8:9" ht="15.75" customHeight="1" x14ac:dyDescent="0.35">
      <c r="H951" s="90"/>
      <c r="I951" s="90"/>
    </row>
    <row r="952" spans="8:9" ht="15.75" customHeight="1" x14ac:dyDescent="0.35">
      <c r="H952" s="90"/>
      <c r="I952" s="90"/>
    </row>
    <row r="953" spans="8:9" ht="15.75" customHeight="1" x14ac:dyDescent="0.35">
      <c r="H953" s="90"/>
      <c r="I953" s="90"/>
    </row>
    <row r="954" spans="8:9" ht="15.75" customHeight="1" x14ac:dyDescent="0.35">
      <c r="H954" s="90"/>
      <c r="I954" s="90"/>
    </row>
    <row r="955" spans="8:9" ht="15.75" customHeight="1" x14ac:dyDescent="0.35">
      <c r="H955" s="90"/>
      <c r="I955" s="90"/>
    </row>
    <row r="956" spans="8:9" ht="15.75" customHeight="1" x14ac:dyDescent="0.35">
      <c r="H956" s="90"/>
      <c r="I956" s="90"/>
    </row>
    <row r="957" spans="8:9" ht="15.75" customHeight="1" x14ac:dyDescent="0.35">
      <c r="H957" s="90"/>
      <c r="I957" s="90"/>
    </row>
    <row r="958" spans="8:9" ht="15.75" customHeight="1" x14ac:dyDescent="0.35">
      <c r="H958" s="90"/>
      <c r="I958" s="90"/>
    </row>
    <row r="959" spans="8:9" ht="15.75" customHeight="1" x14ac:dyDescent="0.35">
      <c r="H959" s="90"/>
      <c r="I959" s="90"/>
    </row>
    <row r="960" spans="8:9" ht="15.75" customHeight="1" x14ac:dyDescent="0.35">
      <c r="H960" s="90"/>
      <c r="I960" s="90"/>
    </row>
    <row r="961" spans="8:9" ht="15.75" customHeight="1" x14ac:dyDescent="0.35">
      <c r="H961" s="90"/>
      <c r="I961" s="90"/>
    </row>
    <row r="962" spans="8:9" ht="15.75" customHeight="1" x14ac:dyDescent="0.35">
      <c r="H962" s="90"/>
      <c r="I962" s="90"/>
    </row>
    <row r="963" spans="8:9" ht="15.75" customHeight="1" x14ac:dyDescent="0.35">
      <c r="H963" s="90"/>
      <c r="I963" s="90"/>
    </row>
    <row r="964" spans="8:9" ht="15.75" customHeight="1" x14ac:dyDescent="0.35">
      <c r="H964" s="90"/>
      <c r="I964" s="90"/>
    </row>
    <row r="965" spans="8:9" ht="15.75" customHeight="1" x14ac:dyDescent="0.35">
      <c r="H965" s="90"/>
      <c r="I965" s="90"/>
    </row>
    <row r="966" spans="8:9" ht="15.75" customHeight="1" x14ac:dyDescent="0.35">
      <c r="H966" s="90"/>
      <c r="I966" s="90"/>
    </row>
    <row r="967" spans="8:9" ht="15.75" customHeight="1" x14ac:dyDescent="0.35">
      <c r="H967" s="90"/>
      <c r="I967" s="90"/>
    </row>
    <row r="968" spans="8:9" ht="15.75" customHeight="1" x14ac:dyDescent="0.35">
      <c r="H968" s="90"/>
      <c r="I968" s="90"/>
    </row>
    <row r="969" spans="8:9" ht="15.75" customHeight="1" x14ac:dyDescent="0.35">
      <c r="H969" s="90"/>
      <c r="I969" s="90"/>
    </row>
    <row r="970" spans="8:9" ht="15.75" customHeight="1" x14ac:dyDescent="0.35">
      <c r="H970" s="90"/>
      <c r="I970" s="90"/>
    </row>
    <row r="971" spans="8:9" ht="15.75" customHeight="1" x14ac:dyDescent="0.35">
      <c r="H971" s="90"/>
      <c r="I971" s="90"/>
    </row>
    <row r="972" spans="8:9" ht="15.75" customHeight="1" x14ac:dyDescent="0.35">
      <c r="H972" s="90"/>
      <c r="I972" s="90"/>
    </row>
    <row r="973" spans="8:9" ht="15.75" customHeight="1" x14ac:dyDescent="0.35">
      <c r="H973" s="90"/>
      <c r="I973" s="90"/>
    </row>
    <row r="974" spans="8:9" ht="15.75" customHeight="1" x14ac:dyDescent="0.35">
      <c r="H974" s="90"/>
      <c r="I974" s="90"/>
    </row>
    <row r="975" spans="8:9" ht="15.75" customHeight="1" x14ac:dyDescent="0.35">
      <c r="H975" s="90"/>
      <c r="I975" s="90"/>
    </row>
    <row r="976" spans="8:9" ht="15.75" customHeight="1" x14ac:dyDescent="0.35">
      <c r="H976" s="90"/>
      <c r="I976" s="90"/>
    </row>
    <row r="977" spans="8:9" ht="15.75" customHeight="1" x14ac:dyDescent="0.35">
      <c r="H977" s="90"/>
      <c r="I977" s="90"/>
    </row>
    <row r="978" spans="8:9" ht="15.75" customHeight="1" x14ac:dyDescent="0.35">
      <c r="H978" s="90"/>
      <c r="I978" s="90"/>
    </row>
    <row r="979" spans="8:9" ht="15.75" customHeight="1" x14ac:dyDescent="0.35">
      <c r="H979" s="90"/>
      <c r="I979" s="90"/>
    </row>
    <row r="980" spans="8:9" ht="15.75" customHeight="1" x14ac:dyDescent="0.35">
      <c r="H980" s="90"/>
      <c r="I980" s="90"/>
    </row>
    <row r="981" spans="8:9" ht="15.75" customHeight="1" x14ac:dyDescent="0.35">
      <c r="H981" s="90"/>
      <c r="I981" s="90"/>
    </row>
    <row r="982" spans="8:9" ht="15.75" customHeight="1" x14ac:dyDescent="0.35">
      <c r="H982" s="90"/>
      <c r="I982" s="90"/>
    </row>
    <row r="983" spans="8:9" ht="15.75" customHeight="1" x14ac:dyDescent="0.35">
      <c r="H983" s="90"/>
      <c r="I983" s="90"/>
    </row>
    <row r="984" spans="8:9" ht="15.75" customHeight="1" x14ac:dyDescent="0.35">
      <c r="H984" s="90"/>
      <c r="I984" s="90"/>
    </row>
    <row r="985" spans="8:9" ht="15.75" customHeight="1" x14ac:dyDescent="0.35">
      <c r="H985" s="90"/>
      <c r="I985" s="90"/>
    </row>
    <row r="986" spans="8:9" ht="15.75" customHeight="1" x14ac:dyDescent="0.35">
      <c r="H986" s="90"/>
      <c r="I986" s="90"/>
    </row>
    <row r="987" spans="8:9" ht="15.75" customHeight="1" x14ac:dyDescent="0.35">
      <c r="H987" s="90"/>
      <c r="I987" s="90"/>
    </row>
    <row r="988" spans="8:9" ht="15.75" customHeight="1" x14ac:dyDescent="0.35">
      <c r="H988" s="90"/>
      <c r="I988" s="90"/>
    </row>
    <row r="989" spans="8:9" ht="15.75" customHeight="1" x14ac:dyDescent="0.35">
      <c r="H989" s="90"/>
      <c r="I989" s="90"/>
    </row>
    <row r="990" spans="8:9" ht="15.75" customHeight="1" x14ac:dyDescent="0.35">
      <c r="H990" s="90"/>
      <c r="I990" s="90"/>
    </row>
    <row r="991" spans="8:9" ht="15.75" customHeight="1" x14ac:dyDescent="0.35">
      <c r="H991" s="90"/>
      <c r="I991" s="90"/>
    </row>
    <row r="992" spans="8:9" ht="15.75" customHeight="1" x14ac:dyDescent="0.35">
      <c r="H992" s="90"/>
      <c r="I992" s="90"/>
    </row>
    <row r="993" spans="8:9" ht="15.75" customHeight="1" x14ac:dyDescent="0.35">
      <c r="H993" s="90"/>
      <c r="I993" s="90"/>
    </row>
    <row r="994" spans="8:9" ht="15.75" customHeight="1" x14ac:dyDescent="0.35">
      <c r="H994" s="90"/>
      <c r="I994" s="90"/>
    </row>
    <row r="995" spans="8:9" ht="15.75" customHeight="1" x14ac:dyDescent="0.35">
      <c r="H995" s="90"/>
      <c r="I995" s="90"/>
    </row>
    <row r="996" spans="8:9" ht="15.75" customHeight="1" x14ac:dyDescent="0.35">
      <c r="H996" s="90"/>
      <c r="I996" s="90"/>
    </row>
    <row r="997" spans="8:9" ht="15.75" customHeight="1" x14ac:dyDescent="0.35">
      <c r="H997" s="90"/>
      <c r="I997" s="90"/>
    </row>
    <row r="998" spans="8:9" ht="15.75" customHeight="1" x14ac:dyDescent="0.35">
      <c r="H998" s="90"/>
      <c r="I998" s="90"/>
    </row>
    <row r="999" spans="8:9" ht="15.75" customHeight="1" x14ac:dyDescent="0.35">
      <c r="H999" s="90"/>
      <c r="I999" s="90"/>
    </row>
    <row r="1000" spans="8:9" ht="15.75" customHeight="1" x14ac:dyDescent="0.35">
      <c r="H1000" s="90"/>
      <c r="I1000" s="90"/>
    </row>
    <row r="1001" spans="8:9" ht="15.75" customHeight="1" x14ac:dyDescent="0.35">
      <c r="H1001" s="90"/>
      <c r="I1001" s="90"/>
    </row>
    <row r="1002" spans="8:9" ht="15.75" customHeight="1" x14ac:dyDescent="0.35">
      <c r="H1002" s="90"/>
      <c r="I1002" s="90"/>
    </row>
    <row r="1003" spans="8:9" ht="15.75" customHeight="1" x14ac:dyDescent="0.35">
      <c r="H1003" s="90"/>
      <c r="I1003" s="90"/>
    </row>
  </sheetData>
  <mergeCells count="14">
    <mergeCell ref="O2:P2"/>
    <mergeCell ref="S2:S5"/>
    <mergeCell ref="O3:P3"/>
    <mergeCell ref="G69:H69"/>
    <mergeCell ref="I69:I70"/>
    <mergeCell ref="G70:H70"/>
    <mergeCell ref="L2:L4"/>
    <mergeCell ref="M2:N3"/>
    <mergeCell ref="A1:I1"/>
    <mergeCell ref="A2:A4"/>
    <mergeCell ref="B2:B4"/>
    <mergeCell ref="C2:D3"/>
    <mergeCell ref="E2:I2"/>
    <mergeCell ref="E3:I3"/>
  </mergeCells>
  <pageMargins left="0.25" right="0.25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003"/>
  <sheetViews>
    <sheetView workbookViewId="0">
      <pane xSplit="1" topLeftCell="B1" activePane="topRight" state="frozen"/>
      <selection pane="topRight" activeCell="C2" sqref="C2"/>
    </sheetView>
  </sheetViews>
  <sheetFormatPr defaultColWidth="14.453125" defaultRowHeight="15" customHeight="1" x14ac:dyDescent="0.35"/>
  <cols>
    <col min="1" max="1" width="41.26953125" customWidth="1"/>
    <col min="2" max="4" width="22.7265625" customWidth="1"/>
    <col min="5" max="6" width="15.7265625" customWidth="1"/>
    <col min="7" max="7" width="19.81640625" customWidth="1"/>
    <col min="8" max="9" width="17.7265625" customWidth="1"/>
    <col min="10" max="11" width="24.54296875" hidden="1" customWidth="1"/>
    <col min="12" max="15" width="22.7265625" customWidth="1"/>
    <col min="16" max="16" width="17.7265625" customWidth="1"/>
    <col min="17" max="17" width="24.08984375" hidden="1" customWidth="1"/>
    <col min="18" max="18" width="22.08984375" hidden="1" customWidth="1"/>
    <col min="19" max="19" width="8.26953125" customWidth="1"/>
    <col min="20" max="20" width="36.7265625" customWidth="1"/>
    <col min="21" max="31" width="8.7265625" customWidth="1"/>
  </cols>
  <sheetData>
    <row r="1" spans="1:20" ht="26" x14ac:dyDescent="0.6">
      <c r="A1" s="108">
        <v>46305</v>
      </c>
      <c r="B1" s="109"/>
      <c r="C1" s="109"/>
      <c r="D1" s="109"/>
      <c r="E1" s="109"/>
      <c r="F1" s="109"/>
      <c r="G1" s="109"/>
      <c r="H1" s="109"/>
      <c r="I1" s="109"/>
    </row>
    <row r="2" spans="1:20" ht="27" customHeight="1" x14ac:dyDescent="0.6">
      <c r="A2" s="110" t="s">
        <v>0</v>
      </c>
      <c r="B2" s="113" t="s">
        <v>1</v>
      </c>
      <c r="C2" s="116"/>
      <c r="D2" s="117"/>
      <c r="E2" s="119" t="s">
        <v>2</v>
      </c>
      <c r="F2" s="120"/>
      <c r="G2" s="120"/>
      <c r="H2" s="120"/>
      <c r="I2" s="121"/>
      <c r="J2" s="1"/>
      <c r="K2" s="1"/>
      <c r="L2" s="129" t="s">
        <v>1</v>
      </c>
      <c r="M2" s="130"/>
      <c r="N2" s="131"/>
      <c r="O2" s="122" t="s">
        <v>3</v>
      </c>
      <c r="P2" s="121"/>
      <c r="Q2" s="3"/>
      <c r="R2" s="3"/>
      <c r="T2" s="123" t="s">
        <v>4</v>
      </c>
    </row>
    <row r="3" spans="1:20" ht="27" customHeight="1" x14ac:dyDescent="0.6">
      <c r="A3" s="111"/>
      <c r="B3" s="114"/>
      <c r="C3" s="118"/>
      <c r="D3" s="109"/>
      <c r="E3" s="125" t="s">
        <v>5</v>
      </c>
      <c r="F3" s="120"/>
      <c r="G3" s="120"/>
      <c r="H3" s="120"/>
      <c r="I3" s="121"/>
      <c r="J3" s="1"/>
      <c r="K3" s="2"/>
      <c r="L3" s="114"/>
      <c r="M3" s="132"/>
      <c r="N3" s="133"/>
      <c r="O3" s="124" t="s">
        <v>6</v>
      </c>
      <c r="P3" s="121"/>
      <c r="Q3" s="3"/>
      <c r="R3" s="3"/>
      <c r="T3" s="114"/>
    </row>
    <row r="4" spans="1:20" ht="27" customHeight="1" x14ac:dyDescent="0.6">
      <c r="A4" s="112"/>
      <c r="B4" s="115"/>
      <c r="C4" s="4" t="s">
        <v>65</v>
      </c>
      <c r="D4" s="5" t="s">
        <v>8</v>
      </c>
      <c r="E4" s="6" t="s">
        <v>9</v>
      </c>
      <c r="F4" s="6" t="s">
        <v>10</v>
      </c>
      <c r="G4" s="6" t="s">
        <v>11</v>
      </c>
      <c r="H4" s="7" t="s">
        <v>12</v>
      </c>
      <c r="I4" s="8" t="s">
        <v>13</v>
      </c>
      <c r="J4" s="9" t="s">
        <v>14</v>
      </c>
      <c r="K4" s="10" t="s">
        <v>15</v>
      </c>
      <c r="L4" s="115"/>
      <c r="M4" s="11" t="s">
        <v>66</v>
      </c>
      <c r="N4" s="12" t="s">
        <v>17</v>
      </c>
      <c r="O4" s="13" t="s">
        <v>18</v>
      </c>
      <c r="P4" s="94" t="s">
        <v>13</v>
      </c>
      <c r="Q4" s="9" t="s">
        <v>14</v>
      </c>
      <c r="R4" s="10" t="s">
        <v>15</v>
      </c>
      <c r="S4" s="99"/>
      <c r="T4" s="114"/>
    </row>
    <row r="5" spans="1:20" ht="21" x14ac:dyDescent="0.5">
      <c r="A5" s="15" t="s">
        <v>19</v>
      </c>
      <c r="B5" s="16"/>
      <c r="C5" s="17"/>
      <c r="D5" s="18"/>
      <c r="E5" s="19"/>
      <c r="F5" s="19"/>
      <c r="G5" s="19"/>
      <c r="H5" s="20"/>
      <c r="I5" s="20"/>
      <c r="J5" s="21"/>
      <c r="K5" s="21"/>
      <c r="L5" s="22"/>
      <c r="M5" s="23"/>
      <c r="N5" s="24"/>
      <c r="O5" s="25"/>
      <c r="P5" s="25"/>
      <c r="Q5" s="21"/>
      <c r="R5" s="21"/>
      <c r="S5" s="100"/>
      <c r="T5" s="115"/>
    </row>
    <row r="6" spans="1:20" ht="21" x14ac:dyDescent="0.5">
      <c r="A6" s="26" t="s">
        <v>20</v>
      </c>
      <c r="B6" s="95">
        <v>229</v>
      </c>
      <c r="C6" s="28"/>
      <c r="D6" s="29"/>
      <c r="E6" s="42">
        <v>30</v>
      </c>
      <c r="F6" s="42"/>
      <c r="G6" s="42">
        <v>5</v>
      </c>
      <c r="H6" s="31">
        <f t="shared" ref="H6:H13" si="0">SUM(E6:G6)</f>
        <v>35</v>
      </c>
      <c r="I6" s="32">
        <f t="shared" ref="I6:I13" si="1">B6-H6+C6+D6</f>
        <v>194</v>
      </c>
      <c r="J6" s="33">
        <f>168+24+24+12</f>
        <v>228</v>
      </c>
      <c r="K6" s="33">
        <f t="shared" ref="K6:K13" si="2">J6-I6</f>
        <v>34</v>
      </c>
      <c r="L6" s="31">
        <v>0</v>
      </c>
      <c r="M6" s="34"/>
      <c r="N6" s="35"/>
      <c r="O6" s="36"/>
      <c r="P6" s="37">
        <f t="shared" ref="P6:P13" si="3">L6-O6+M6+N6</f>
        <v>0</v>
      </c>
      <c r="Q6" s="33"/>
      <c r="R6" s="33">
        <f t="shared" ref="R6:R13" si="4">Q6-P6</f>
        <v>0</v>
      </c>
      <c r="S6" s="101"/>
      <c r="T6" s="38">
        <f t="shared" ref="T6:T13" si="5">I6+P6</f>
        <v>194</v>
      </c>
    </row>
    <row r="7" spans="1:20" ht="21" x14ac:dyDescent="0.5">
      <c r="A7" s="26" t="s">
        <v>21</v>
      </c>
      <c r="B7" s="95">
        <v>124</v>
      </c>
      <c r="C7" s="28"/>
      <c r="D7" s="29"/>
      <c r="E7" s="42">
        <v>6</v>
      </c>
      <c r="F7" s="42"/>
      <c r="G7" s="42">
        <v>5</v>
      </c>
      <c r="H7" s="31">
        <f t="shared" si="0"/>
        <v>11</v>
      </c>
      <c r="I7" s="32">
        <f t="shared" si="1"/>
        <v>113</v>
      </c>
      <c r="J7" s="33">
        <f>96+16</f>
        <v>112</v>
      </c>
      <c r="K7" s="33">
        <f t="shared" si="2"/>
        <v>-1</v>
      </c>
      <c r="L7" s="31">
        <v>0</v>
      </c>
      <c r="M7" s="34"/>
      <c r="N7" s="40"/>
      <c r="O7" s="36"/>
      <c r="P7" s="37">
        <f t="shared" si="3"/>
        <v>0</v>
      </c>
      <c r="Q7" s="33"/>
      <c r="R7" s="33">
        <f t="shared" si="4"/>
        <v>0</v>
      </c>
      <c r="S7" s="101"/>
      <c r="T7" s="38">
        <f t="shared" si="5"/>
        <v>113</v>
      </c>
    </row>
    <row r="8" spans="1:20" ht="21" x14ac:dyDescent="0.5">
      <c r="A8" s="26" t="s">
        <v>22</v>
      </c>
      <c r="B8" s="95">
        <v>255</v>
      </c>
      <c r="C8" s="28"/>
      <c r="D8" s="29"/>
      <c r="E8" s="42">
        <v>12</v>
      </c>
      <c r="F8" s="30"/>
      <c r="G8" s="42">
        <v>5</v>
      </c>
      <c r="H8" s="31">
        <f t="shared" si="0"/>
        <v>17</v>
      </c>
      <c r="I8" s="32">
        <f t="shared" si="1"/>
        <v>238</v>
      </c>
      <c r="J8" s="33">
        <f>240+15</f>
        <v>255</v>
      </c>
      <c r="K8" s="33">
        <f t="shared" si="2"/>
        <v>17</v>
      </c>
      <c r="L8" s="31">
        <v>0</v>
      </c>
      <c r="M8" s="34"/>
      <c r="N8" s="35"/>
      <c r="O8" s="36"/>
      <c r="P8" s="37">
        <f t="shared" si="3"/>
        <v>0</v>
      </c>
      <c r="Q8" s="33"/>
      <c r="R8" s="33">
        <f t="shared" si="4"/>
        <v>0</v>
      </c>
      <c r="S8" s="101"/>
      <c r="T8" s="38">
        <f t="shared" si="5"/>
        <v>238</v>
      </c>
    </row>
    <row r="9" spans="1:20" ht="21" x14ac:dyDescent="0.5">
      <c r="A9" s="26" t="s">
        <v>23</v>
      </c>
      <c r="B9" s="95">
        <v>573</v>
      </c>
      <c r="C9" s="28"/>
      <c r="D9" s="29"/>
      <c r="E9" s="42">
        <v>17</v>
      </c>
      <c r="F9" s="42"/>
      <c r="G9" s="42"/>
      <c r="H9" s="31">
        <f t="shared" si="0"/>
        <v>17</v>
      </c>
      <c r="I9" s="32">
        <f t="shared" si="1"/>
        <v>556</v>
      </c>
      <c r="J9" s="41">
        <v>552</v>
      </c>
      <c r="K9" s="33">
        <f t="shared" si="2"/>
        <v>-4</v>
      </c>
      <c r="L9" s="31">
        <v>0</v>
      </c>
      <c r="M9" s="34"/>
      <c r="N9" s="40"/>
      <c r="O9" s="36"/>
      <c r="P9" s="37">
        <f t="shared" si="3"/>
        <v>0</v>
      </c>
      <c r="Q9" s="41"/>
      <c r="R9" s="33">
        <f t="shared" si="4"/>
        <v>0</v>
      </c>
      <c r="S9" s="101"/>
      <c r="T9" s="38">
        <f t="shared" si="5"/>
        <v>556</v>
      </c>
    </row>
    <row r="10" spans="1:20" ht="21" x14ac:dyDescent="0.5">
      <c r="A10" s="26" t="s">
        <v>24</v>
      </c>
      <c r="B10" s="95">
        <v>412</v>
      </c>
      <c r="C10" s="28"/>
      <c r="D10" s="29"/>
      <c r="E10" s="42"/>
      <c r="F10" s="30"/>
      <c r="G10" s="42">
        <v>5</v>
      </c>
      <c r="H10" s="31">
        <f t="shared" si="0"/>
        <v>5</v>
      </c>
      <c r="I10" s="32">
        <f t="shared" si="1"/>
        <v>407</v>
      </c>
      <c r="J10" s="33">
        <f>480+16</f>
        <v>496</v>
      </c>
      <c r="K10" s="33">
        <f t="shared" si="2"/>
        <v>89</v>
      </c>
      <c r="L10" s="31">
        <v>0</v>
      </c>
      <c r="M10" s="34"/>
      <c r="N10" s="40"/>
      <c r="O10" s="36"/>
      <c r="P10" s="37">
        <f t="shared" si="3"/>
        <v>0</v>
      </c>
      <c r="Q10" s="41"/>
      <c r="R10" s="33">
        <f t="shared" si="4"/>
        <v>0</v>
      </c>
      <c r="S10" s="101"/>
      <c r="T10" s="38">
        <f t="shared" si="5"/>
        <v>407</v>
      </c>
    </row>
    <row r="11" spans="1:20" ht="21" x14ac:dyDescent="0.5">
      <c r="A11" s="26" t="s">
        <v>25</v>
      </c>
      <c r="B11" s="95">
        <v>275</v>
      </c>
      <c r="C11" s="28"/>
      <c r="D11" s="29"/>
      <c r="E11" s="42">
        <v>6</v>
      </c>
      <c r="F11" s="42"/>
      <c r="G11" s="42">
        <v>5</v>
      </c>
      <c r="H11" s="31">
        <f t="shared" si="0"/>
        <v>11</v>
      </c>
      <c r="I11" s="32">
        <f t="shared" si="1"/>
        <v>264</v>
      </c>
      <c r="J11" s="33">
        <f>456+9</f>
        <v>465</v>
      </c>
      <c r="K11" s="33">
        <f t="shared" si="2"/>
        <v>201</v>
      </c>
      <c r="L11" s="31">
        <v>0</v>
      </c>
      <c r="M11" s="34"/>
      <c r="N11" s="40"/>
      <c r="O11" s="36"/>
      <c r="P11" s="37">
        <f t="shared" si="3"/>
        <v>0</v>
      </c>
      <c r="Q11" s="33"/>
      <c r="R11" s="33">
        <f t="shared" si="4"/>
        <v>0</v>
      </c>
      <c r="S11" s="101"/>
      <c r="T11" s="38">
        <f t="shared" si="5"/>
        <v>264</v>
      </c>
    </row>
    <row r="12" spans="1:20" ht="21" x14ac:dyDescent="0.5">
      <c r="A12" s="26" t="s">
        <v>26</v>
      </c>
      <c r="B12" s="95">
        <v>20</v>
      </c>
      <c r="C12" s="28"/>
      <c r="D12" s="29"/>
      <c r="E12" s="42"/>
      <c r="F12" s="30"/>
      <c r="G12" s="30"/>
      <c r="H12" s="31">
        <f t="shared" si="0"/>
        <v>0</v>
      </c>
      <c r="I12" s="32">
        <f t="shared" si="1"/>
        <v>20</v>
      </c>
      <c r="J12" s="33">
        <f>24+22</f>
        <v>46</v>
      </c>
      <c r="K12" s="33">
        <f t="shared" si="2"/>
        <v>26</v>
      </c>
      <c r="L12" s="31">
        <v>0</v>
      </c>
      <c r="M12" s="34"/>
      <c r="N12" s="40"/>
      <c r="O12" s="36"/>
      <c r="P12" s="37">
        <f t="shared" si="3"/>
        <v>0</v>
      </c>
      <c r="Q12" s="41"/>
      <c r="R12" s="33">
        <f t="shared" si="4"/>
        <v>0</v>
      </c>
      <c r="S12" s="101"/>
      <c r="T12" s="38">
        <f t="shared" si="5"/>
        <v>20</v>
      </c>
    </row>
    <row r="13" spans="1:20" ht="21" x14ac:dyDescent="0.5">
      <c r="A13" s="26" t="s">
        <v>27</v>
      </c>
      <c r="B13" s="95">
        <v>424</v>
      </c>
      <c r="C13" s="54">
        <v>36</v>
      </c>
      <c r="D13" s="29"/>
      <c r="E13" s="42">
        <v>6</v>
      </c>
      <c r="F13" s="30"/>
      <c r="G13" s="42"/>
      <c r="H13" s="31">
        <f t="shared" si="0"/>
        <v>6</v>
      </c>
      <c r="I13" s="32">
        <f t="shared" si="1"/>
        <v>454</v>
      </c>
      <c r="J13" s="33">
        <f>408+17</f>
        <v>425</v>
      </c>
      <c r="K13" s="33">
        <f t="shared" si="2"/>
        <v>-29</v>
      </c>
      <c r="L13" s="31">
        <v>18</v>
      </c>
      <c r="M13" s="34"/>
      <c r="N13" s="40"/>
      <c r="O13" s="36"/>
      <c r="P13" s="37">
        <f t="shared" si="3"/>
        <v>18</v>
      </c>
      <c r="Q13" s="41">
        <v>18</v>
      </c>
      <c r="R13" s="33">
        <f t="shared" si="4"/>
        <v>0</v>
      </c>
      <c r="S13" s="101"/>
      <c r="T13" s="38">
        <f t="shared" si="5"/>
        <v>472</v>
      </c>
    </row>
    <row r="14" spans="1:20" ht="21" x14ac:dyDescent="0.5">
      <c r="A14" s="15" t="s">
        <v>28</v>
      </c>
      <c r="B14" s="96"/>
      <c r="C14" s="45"/>
      <c r="D14" s="46"/>
      <c r="E14" s="47"/>
      <c r="F14" s="47"/>
      <c r="G14" s="47"/>
      <c r="H14" s="48"/>
      <c r="I14" s="48"/>
      <c r="J14" s="49"/>
      <c r="K14" s="50"/>
      <c r="L14" s="48"/>
      <c r="M14" s="51"/>
      <c r="N14" s="52"/>
      <c r="O14" s="47"/>
      <c r="P14" s="47"/>
      <c r="Q14" s="49"/>
      <c r="R14" s="50"/>
      <c r="S14" s="50"/>
      <c r="T14" s="47"/>
    </row>
    <row r="15" spans="1:20" ht="21" x14ac:dyDescent="0.5">
      <c r="A15" s="26" t="s">
        <v>29</v>
      </c>
      <c r="B15" s="95">
        <v>143</v>
      </c>
      <c r="C15" s="28"/>
      <c r="D15" s="29"/>
      <c r="E15" s="30"/>
      <c r="F15" s="30"/>
      <c r="G15" s="30"/>
      <c r="H15" s="31">
        <f t="shared" ref="H15:H27" si="6">SUM(E15:G15)</f>
        <v>0</v>
      </c>
      <c r="I15" s="32">
        <f t="shared" ref="I15:I27" si="7">B15-H15+C15+D15</f>
        <v>143</v>
      </c>
      <c r="J15" s="33">
        <f>120+2+12+9</f>
        <v>143</v>
      </c>
      <c r="K15" s="33">
        <f t="shared" ref="K15:K27" si="8">J15-I15</f>
        <v>0</v>
      </c>
      <c r="L15" s="31">
        <v>10</v>
      </c>
      <c r="M15" s="34"/>
      <c r="N15" s="40"/>
      <c r="O15" s="53">
        <v>2</v>
      </c>
      <c r="P15" s="37">
        <f t="shared" ref="P15:P27" si="9">L15-O15+M15+N15</f>
        <v>8</v>
      </c>
      <c r="Q15" s="41">
        <v>8</v>
      </c>
      <c r="R15" s="33">
        <f t="shared" ref="R15:R27" si="10">Q15-P15</f>
        <v>0</v>
      </c>
      <c r="S15" s="101"/>
      <c r="T15" s="38">
        <f t="shared" ref="T15:T27" si="11">I15+P15</f>
        <v>151</v>
      </c>
    </row>
    <row r="16" spans="1:20" ht="21" x14ac:dyDescent="0.5">
      <c r="A16" s="26" t="s">
        <v>30</v>
      </c>
      <c r="B16" s="95">
        <v>266</v>
      </c>
      <c r="C16" s="54">
        <v>480</v>
      </c>
      <c r="D16" s="29"/>
      <c r="E16" s="42">
        <f>6+36</f>
        <v>42</v>
      </c>
      <c r="F16" s="30"/>
      <c r="G16" s="42"/>
      <c r="H16" s="31">
        <f t="shared" si="6"/>
        <v>42</v>
      </c>
      <c r="I16" s="32">
        <f t="shared" si="7"/>
        <v>704</v>
      </c>
      <c r="J16" s="33">
        <f>8+192+72+11</f>
        <v>283</v>
      </c>
      <c r="K16" s="33">
        <f t="shared" si="8"/>
        <v>-421</v>
      </c>
      <c r="L16" s="31">
        <v>223</v>
      </c>
      <c r="M16" s="64">
        <v>240</v>
      </c>
      <c r="N16" s="35">
        <v>3</v>
      </c>
      <c r="O16" s="53">
        <v>138</v>
      </c>
      <c r="P16" s="37">
        <f t="shared" si="9"/>
        <v>328</v>
      </c>
      <c r="Q16" s="33">
        <f>4+176+32</f>
        <v>212</v>
      </c>
      <c r="R16" s="33">
        <f t="shared" si="10"/>
        <v>-116</v>
      </c>
      <c r="S16" s="101"/>
      <c r="T16" s="38">
        <f t="shared" si="11"/>
        <v>1032</v>
      </c>
    </row>
    <row r="17" spans="1:20" ht="21" x14ac:dyDescent="0.5">
      <c r="A17" s="26" t="s">
        <v>31</v>
      </c>
      <c r="B17" s="95">
        <v>117</v>
      </c>
      <c r="C17" s="28"/>
      <c r="D17" s="29"/>
      <c r="E17" s="30"/>
      <c r="F17" s="42"/>
      <c r="G17" s="30"/>
      <c r="H17" s="31">
        <f t="shared" si="6"/>
        <v>0</v>
      </c>
      <c r="I17" s="32">
        <f t="shared" si="7"/>
        <v>117</v>
      </c>
      <c r="J17" s="33">
        <f>108+9</f>
        <v>117</v>
      </c>
      <c r="K17" s="33">
        <f t="shared" si="8"/>
        <v>0</v>
      </c>
      <c r="L17" s="31">
        <v>11</v>
      </c>
      <c r="M17" s="34"/>
      <c r="N17" s="40"/>
      <c r="O17" s="36"/>
      <c r="P17" s="37">
        <f t="shared" si="9"/>
        <v>11</v>
      </c>
      <c r="Q17" s="41">
        <v>11</v>
      </c>
      <c r="R17" s="33">
        <f t="shared" si="10"/>
        <v>0</v>
      </c>
      <c r="S17" s="101"/>
      <c r="T17" s="38">
        <f t="shared" si="11"/>
        <v>128</v>
      </c>
    </row>
    <row r="18" spans="1:20" ht="21" x14ac:dyDescent="0.5">
      <c r="A18" s="26" t="s">
        <v>32</v>
      </c>
      <c r="B18" s="95">
        <v>24</v>
      </c>
      <c r="C18" s="28"/>
      <c r="D18" s="29"/>
      <c r="E18" s="30"/>
      <c r="F18" s="30"/>
      <c r="G18" s="30"/>
      <c r="H18" s="31">
        <f t="shared" si="6"/>
        <v>0</v>
      </c>
      <c r="I18" s="32">
        <f t="shared" si="7"/>
        <v>24</v>
      </c>
      <c r="J18" s="33">
        <f>24+36</f>
        <v>60</v>
      </c>
      <c r="K18" s="33">
        <f t="shared" si="8"/>
        <v>36</v>
      </c>
      <c r="L18" s="31">
        <v>101</v>
      </c>
      <c r="M18" s="34"/>
      <c r="N18" s="40"/>
      <c r="O18" s="53">
        <v>2</v>
      </c>
      <c r="P18" s="37">
        <f t="shared" si="9"/>
        <v>99</v>
      </c>
      <c r="Q18" s="41">
        <v>1</v>
      </c>
      <c r="R18" s="33">
        <f t="shared" si="10"/>
        <v>-98</v>
      </c>
      <c r="S18" s="101"/>
      <c r="T18" s="38">
        <f t="shared" si="11"/>
        <v>123</v>
      </c>
    </row>
    <row r="19" spans="1:20" ht="21" x14ac:dyDescent="0.5">
      <c r="A19" s="26" t="s">
        <v>33</v>
      </c>
      <c r="B19" s="95">
        <v>140</v>
      </c>
      <c r="C19" s="28"/>
      <c r="D19" s="29"/>
      <c r="E19" s="42">
        <v>4</v>
      </c>
      <c r="F19" s="30"/>
      <c r="G19" s="42"/>
      <c r="H19" s="31">
        <f t="shared" si="6"/>
        <v>4</v>
      </c>
      <c r="I19" s="32">
        <f t="shared" si="7"/>
        <v>136</v>
      </c>
      <c r="J19" s="33">
        <f>132+8</f>
        <v>140</v>
      </c>
      <c r="K19" s="33">
        <f t="shared" si="8"/>
        <v>4</v>
      </c>
      <c r="L19" s="31">
        <v>87</v>
      </c>
      <c r="M19" s="34"/>
      <c r="N19" s="40"/>
      <c r="O19" s="53">
        <v>12</v>
      </c>
      <c r="P19" s="37">
        <f t="shared" si="9"/>
        <v>75</v>
      </c>
      <c r="Q19" s="41">
        <f>60+24</f>
        <v>84</v>
      </c>
      <c r="R19" s="33">
        <f t="shared" si="10"/>
        <v>9</v>
      </c>
      <c r="S19" s="101"/>
      <c r="T19" s="38">
        <f t="shared" si="11"/>
        <v>211</v>
      </c>
    </row>
    <row r="20" spans="1:20" ht="21" x14ac:dyDescent="0.5">
      <c r="A20" s="26" t="s">
        <v>34</v>
      </c>
      <c r="B20" s="95">
        <v>167</v>
      </c>
      <c r="C20" s="54">
        <v>120</v>
      </c>
      <c r="D20" s="29"/>
      <c r="E20" s="42">
        <v>4</v>
      </c>
      <c r="F20" s="30"/>
      <c r="G20" s="42"/>
      <c r="H20" s="31">
        <f t="shared" si="6"/>
        <v>4</v>
      </c>
      <c r="I20" s="32">
        <f t="shared" si="7"/>
        <v>283</v>
      </c>
      <c r="J20" s="33">
        <f>12+156+10</f>
        <v>178</v>
      </c>
      <c r="K20" s="33">
        <f t="shared" si="8"/>
        <v>-105</v>
      </c>
      <c r="L20" s="31">
        <v>219</v>
      </c>
      <c r="M20" s="64">
        <v>120</v>
      </c>
      <c r="N20" s="35">
        <v>2</v>
      </c>
      <c r="O20" s="53">
        <v>114</v>
      </c>
      <c r="P20" s="37">
        <f t="shared" si="9"/>
        <v>227</v>
      </c>
      <c r="Q20" s="41">
        <f>1+88+80+35</f>
        <v>204</v>
      </c>
      <c r="R20" s="33">
        <f t="shared" si="10"/>
        <v>-23</v>
      </c>
      <c r="S20" s="101"/>
      <c r="T20" s="38">
        <f t="shared" si="11"/>
        <v>510</v>
      </c>
    </row>
    <row r="21" spans="1:20" ht="15.75" customHeight="1" x14ac:dyDescent="0.5">
      <c r="A21" s="26" t="s">
        <v>35</v>
      </c>
      <c r="B21" s="95">
        <v>722</v>
      </c>
      <c r="C21" s="54"/>
      <c r="D21" s="39">
        <f>6+6</f>
        <v>12</v>
      </c>
      <c r="E21" s="42">
        <f>117+27</f>
        <v>144</v>
      </c>
      <c r="F21" s="42"/>
      <c r="G21" s="42"/>
      <c r="H21" s="31">
        <f t="shared" si="6"/>
        <v>144</v>
      </c>
      <c r="I21" s="32">
        <f t="shared" si="7"/>
        <v>590</v>
      </c>
      <c r="J21" s="33">
        <f>396+8+140+4+192</f>
        <v>740</v>
      </c>
      <c r="K21" s="33">
        <f t="shared" si="8"/>
        <v>150</v>
      </c>
      <c r="L21" s="31">
        <v>342</v>
      </c>
      <c r="M21" s="64"/>
      <c r="N21" s="35">
        <v>2</v>
      </c>
      <c r="O21" s="53">
        <v>104</v>
      </c>
      <c r="P21" s="37">
        <f t="shared" si="9"/>
        <v>240</v>
      </c>
      <c r="Q21" s="33">
        <f>140+34</f>
        <v>174</v>
      </c>
      <c r="R21" s="33">
        <f t="shared" si="10"/>
        <v>-66</v>
      </c>
      <c r="S21" s="101"/>
      <c r="T21" s="38">
        <f t="shared" si="11"/>
        <v>830</v>
      </c>
    </row>
    <row r="22" spans="1:20" ht="15.75" customHeight="1" x14ac:dyDescent="0.5">
      <c r="A22" s="26" t="s">
        <v>36</v>
      </c>
      <c r="B22" s="95">
        <v>0</v>
      </c>
      <c r="C22" s="28"/>
      <c r="D22" s="29"/>
      <c r="E22" s="30"/>
      <c r="F22" s="30"/>
      <c r="G22" s="30"/>
      <c r="H22" s="31">
        <f t="shared" si="6"/>
        <v>0</v>
      </c>
      <c r="I22" s="32">
        <f t="shared" si="7"/>
        <v>0</v>
      </c>
      <c r="J22" s="33"/>
      <c r="K22" s="33">
        <f t="shared" si="8"/>
        <v>0</v>
      </c>
      <c r="L22" s="31">
        <v>287</v>
      </c>
      <c r="M22" s="64"/>
      <c r="N22" s="35">
        <v>1</v>
      </c>
      <c r="O22" s="53">
        <v>27</v>
      </c>
      <c r="P22" s="37">
        <f t="shared" si="9"/>
        <v>261</v>
      </c>
      <c r="Q22" s="41">
        <f>280+4</f>
        <v>284</v>
      </c>
      <c r="R22" s="33">
        <f t="shared" si="10"/>
        <v>23</v>
      </c>
      <c r="S22" s="101"/>
      <c r="T22" s="38">
        <f t="shared" si="11"/>
        <v>261</v>
      </c>
    </row>
    <row r="23" spans="1:20" ht="15.75" customHeight="1" x14ac:dyDescent="0.5">
      <c r="A23" s="26" t="s">
        <v>24</v>
      </c>
      <c r="B23" s="95">
        <v>266</v>
      </c>
      <c r="C23" s="54">
        <v>668</v>
      </c>
      <c r="D23" s="29"/>
      <c r="E23" s="42">
        <f>74+26</f>
        <v>100</v>
      </c>
      <c r="F23" s="42"/>
      <c r="G23" s="30"/>
      <c r="H23" s="31">
        <f t="shared" si="6"/>
        <v>100</v>
      </c>
      <c r="I23" s="32">
        <f t="shared" si="7"/>
        <v>834</v>
      </c>
      <c r="J23" s="33">
        <f>120+30+15+36+120+2</f>
        <v>323</v>
      </c>
      <c r="K23" s="33">
        <f t="shared" si="8"/>
        <v>-511</v>
      </c>
      <c r="L23" s="31">
        <v>172</v>
      </c>
      <c r="M23" s="64"/>
      <c r="N23" s="35">
        <v>2</v>
      </c>
      <c r="O23" s="53">
        <v>42</v>
      </c>
      <c r="P23" s="37">
        <f t="shared" si="9"/>
        <v>132</v>
      </c>
      <c r="Q23" s="33">
        <f>56+22+24</f>
        <v>102</v>
      </c>
      <c r="R23" s="33">
        <f t="shared" si="10"/>
        <v>-30</v>
      </c>
      <c r="S23" s="101"/>
      <c r="T23" s="38">
        <f t="shared" si="11"/>
        <v>966</v>
      </c>
    </row>
    <row r="24" spans="1:20" ht="15.75" customHeight="1" x14ac:dyDescent="0.5">
      <c r="A24" s="26" t="s">
        <v>37</v>
      </c>
      <c r="B24" s="95">
        <v>126</v>
      </c>
      <c r="C24" s="28"/>
      <c r="D24" s="29"/>
      <c r="E24" s="42">
        <v>6</v>
      </c>
      <c r="F24" s="30"/>
      <c r="G24" s="42"/>
      <c r="H24" s="31">
        <f t="shared" si="6"/>
        <v>6</v>
      </c>
      <c r="I24" s="32">
        <f t="shared" si="7"/>
        <v>120</v>
      </c>
      <c r="J24" s="33">
        <f>168+5</f>
        <v>173</v>
      </c>
      <c r="K24" s="33">
        <f t="shared" si="8"/>
        <v>53</v>
      </c>
      <c r="L24" s="31">
        <v>99</v>
      </c>
      <c r="M24" s="34"/>
      <c r="N24" s="40"/>
      <c r="O24" s="53">
        <v>8</v>
      </c>
      <c r="P24" s="37">
        <f t="shared" si="9"/>
        <v>91</v>
      </c>
      <c r="Q24" s="41">
        <f>2+70+26</f>
        <v>98</v>
      </c>
      <c r="R24" s="33">
        <f t="shared" si="10"/>
        <v>7</v>
      </c>
      <c r="S24" s="101"/>
      <c r="T24" s="38">
        <f t="shared" si="11"/>
        <v>211</v>
      </c>
    </row>
    <row r="25" spans="1:20" ht="15.75" customHeight="1" x14ac:dyDescent="0.5">
      <c r="A25" s="26" t="s">
        <v>38</v>
      </c>
      <c r="B25" s="95">
        <v>48</v>
      </c>
      <c r="C25" s="28"/>
      <c r="D25" s="29"/>
      <c r="E25" s="30"/>
      <c r="F25" s="30"/>
      <c r="G25" s="30"/>
      <c r="H25" s="31">
        <f t="shared" si="6"/>
        <v>0</v>
      </c>
      <c r="I25" s="32">
        <f t="shared" si="7"/>
        <v>48</v>
      </c>
      <c r="J25" s="41">
        <v>48</v>
      </c>
      <c r="K25" s="33">
        <f t="shared" si="8"/>
        <v>0</v>
      </c>
      <c r="L25" s="31">
        <v>265</v>
      </c>
      <c r="M25" s="34"/>
      <c r="N25" s="40"/>
      <c r="O25" s="53"/>
      <c r="P25" s="37">
        <f t="shared" si="9"/>
        <v>265</v>
      </c>
      <c r="Q25" s="41">
        <f>140+25</f>
        <v>165</v>
      </c>
      <c r="R25" s="33">
        <f t="shared" si="10"/>
        <v>-100</v>
      </c>
      <c r="S25" s="101"/>
      <c r="T25" s="38">
        <f t="shared" si="11"/>
        <v>313</v>
      </c>
    </row>
    <row r="26" spans="1:20" ht="15.75" customHeight="1" x14ac:dyDescent="0.5">
      <c r="A26" s="26" t="s">
        <v>39</v>
      </c>
      <c r="B26" s="95">
        <v>89</v>
      </c>
      <c r="C26" s="28"/>
      <c r="D26" s="39">
        <v>1</v>
      </c>
      <c r="E26" s="42">
        <v>16</v>
      </c>
      <c r="F26" s="30"/>
      <c r="G26" s="42"/>
      <c r="H26" s="31">
        <f t="shared" si="6"/>
        <v>16</v>
      </c>
      <c r="I26" s="32">
        <f t="shared" si="7"/>
        <v>74</v>
      </c>
      <c r="J26" s="41">
        <v>120</v>
      </c>
      <c r="K26" s="33">
        <f t="shared" si="8"/>
        <v>46</v>
      </c>
      <c r="L26" s="31">
        <v>156</v>
      </c>
      <c r="M26" s="34"/>
      <c r="N26" s="40"/>
      <c r="O26" s="53"/>
      <c r="P26" s="37">
        <f t="shared" si="9"/>
        <v>156</v>
      </c>
      <c r="Q26" s="41">
        <v>46</v>
      </c>
      <c r="R26" s="33">
        <f t="shared" si="10"/>
        <v>-110</v>
      </c>
      <c r="S26" s="101"/>
      <c r="T26" s="38">
        <f t="shared" si="11"/>
        <v>230</v>
      </c>
    </row>
    <row r="27" spans="1:20" ht="15.75" customHeight="1" x14ac:dyDescent="0.5">
      <c r="A27" s="26" t="s">
        <v>40</v>
      </c>
      <c r="B27" s="95">
        <v>56</v>
      </c>
      <c r="C27" s="28"/>
      <c r="D27" s="29"/>
      <c r="E27" s="42">
        <v>6</v>
      </c>
      <c r="F27" s="30"/>
      <c r="G27" s="42">
        <v>1</v>
      </c>
      <c r="H27" s="31">
        <f t="shared" si="6"/>
        <v>7</v>
      </c>
      <c r="I27" s="32">
        <f t="shared" si="7"/>
        <v>49</v>
      </c>
      <c r="J27" s="33">
        <f>9+8</f>
        <v>17</v>
      </c>
      <c r="K27" s="33">
        <f t="shared" si="8"/>
        <v>-32</v>
      </c>
      <c r="L27" s="31">
        <v>-21</v>
      </c>
      <c r="M27" s="34"/>
      <c r="N27" s="35">
        <v>1</v>
      </c>
      <c r="O27" s="53">
        <v>41</v>
      </c>
      <c r="P27" s="37">
        <f t="shared" si="9"/>
        <v>-61</v>
      </c>
      <c r="Q27" s="41"/>
      <c r="R27" s="33">
        <f t="shared" si="10"/>
        <v>61</v>
      </c>
      <c r="S27" s="101"/>
      <c r="T27" s="38">
        <f t="shared" si="11"/>
        <v>-12</v>
      </c>
    </row>
    <row r="28" spans="1:20" ht="15.75" customHeight="1" x14ac:dyDescent="0.5">
      <c r="A28" s="15" t="s">
        <v>41</v>
      </c>
      <c r="B28" s="62"/>
      <c r="C28" s="57"/>
      <c r="D28" s="58"/>
      <c r="E28" s="59"/>
      <c r="F28" s="59"/>
      <c r="G28" s="59"/>
      <c r="H28" s="21"/>
      <c r="I28" s="21"/>
      <c r="J28" s="49"/>
      <c r="K28" s="49"/>
      <c r="L28" s="21"/>
      <c r="M28" s="60"/>
      <c r="N28" s="61"/>
      <c r="O28" s="59"/>
      <c r="P28" s="47"/>
      <c r="Q28" s="49"/>
      <c r="R28" s="49"/>
      <c r="S28" s="49"/>
      <c r="T28" s="47"/>
    </row>
    <row r="29" spans="1:20" ht="15.75" customHeight="1" x14ac:dyDescent="0.5">
      <c r="A29" s="26" t="s">
        <v>20</v>
      </c>
      <c r="B29" s="95">
        <v>120</v>
      </c>
      <c r="C29" s="28"/>
      <c r="D29" s="29"/>
      <c r="E29" s="30"/>
      <c r="F29" s="30"/>
      <c r="G29" s="30"/>
      <c r="H29" s="31">
        <f t="shared" ref="H29:H35" si="12">SUM(E29:G29)</f>
        <v>0</v>
      </c>
      <c r="I29" s="32">
        <f t="shared" ref="I29:I35" si="13">B29-H29+C29+D29</f>
        <v>120</v>
      </c>
      <c r="J29" s="33">
        <f>120+10</f>
        <v>130</v>
      </c>
      <c r="K29" s="33">
        <f t="shared" ref="K29:K35" si="14">J29-I29</f>
        <v>10</v>
      </c>
      <c r="L29" s="31">
        <v>0</v>
      </c>
      <c r="M29" s="34"/>
      <c r="N29" s="40"/>
      <c r="O29" s="36"/>
      <c r="P29" s="37">
        <f t="shared" ref="P29:P35" si="15">L29-O29+M29+N29</f>
        <v>0</v>
      </c>
      <c r="Q29" s="41"/>
      <c r="R29" s="33">
        <f t="shared" ref="R29:R35" si="16">Q29-P29</f>
        <v>0</v>
      </c>
      <c r="S29" s="101"/>
      <c r="T29" s="38">
        <f t="shared" ref="T29:T35" si="17">I29+P29</f>
        <v>120</v>
      </c>
    </row>
    <row r="30" spans="1:20" ht="15.75" customHeight="1" x14ac:dyDescent="0.5">
      <c r="A30" s="26" t="s">
        <v>21</v>
      </c>
      <c r="B30" s="95">
        <v>0</v>
      </c>
      <c r="C30" s="28"/>
      <c r="D30" s="29"/>
      <c r="E30" s="30"/>
      <c r="F30" s="30"/>
      <c r="G30" s="30"/>
      <c r="H30" s="31">
        <f t="shared" si="12"/>
        <v>0</v>
      </c>
      <c r="I30" s="32">
        <f t="shared" si="13"/>
        <v>0</v>
      </c>
      <c r="J30" s="33">
        <f>6+36+24</f>
        <v>66</v>
      </c>
      <c r="K30" s="33">
        <f t="shared" si="14"/>
        <v>66</v>
      </c>
      <c r="L30" s="31">
        <v>0</v>
      </c>
      <c r="M30" s="34"/>
      <c r="N30" s="40"/>
      <c r="O30" s="36"/>
      <c r="P30" s="37">
        <f t="shared" si="15"/>
        <v>0</v>
      </c>
      <c r="Q30" s="33"/>
      <c r="R30" s="33">
        <f t="shared" si="16"/>
        <v>0</v>
      </c>
      <c r="S30" s="101"/>
      <c r="T30" s="38">
        <f t="shared" si="17"/>
        <v>0</v>
      </c>
    </row>
    <row r="31" spans="1:20" ht="15.75" customHeight="1" x14ac:dyDescent="0.5">
      <c r="A31" s="26" t="s">
        <v>42</v>
      </c>
      <c r="B31" s="95">
        <v>0</v>
      </c>
      <c r="C31" s="28"/>
      <c r="D31" s="29"/>
      <c r="E31" s="30"/>
      <c r="F31" s="30"/>
      <c r="G31" s="30"/>
      <c r="H31" s="31">
        <f t="shared" si="12"/>
        <v>0</v>
      </c>
      <c r="I31" s="32">
        <f t="shared" si="13"/>
        <v>0</v>
      </c>
      <c r="J31" s="33"/>
      <c r="K31" s="33">
        <f t="shared" si="14"/>
        <v>0</v>
      </c>
      <c r="L31" s="31">
        <v>0</v>
      </c>
      <c r="M31" s="34"/>
      <c r="N31" s="40"/>
      <c r="O31" s="36"/>
      <c r="P31" s="37">
        <f t="shared" si="15"/>
        <v>0</v>
      </c>
      <c r="Q31" s="33"/>
      <c r="R31" s="33">
        <f t="shared" si="16"/>
        <v>0</v>
      </c>
      <c r="S31" s="101"/>
      <c r="T31" s="38">
        <f t="shared" si="17"/>
        <v>0</v>
      </c>
    </row>
    <row r="32" spans="1:20" ht="15.75" customHeight="1" x14ac:dyDescent="0.5">
      <c r="A32" s="26" t="s">
        <v>22</v>
      </c>
      <c r="B32" s="95">
        <v>0</v>
      </c>
      <c r="C32" s="28"/>
      <c r="D32" s="29"/>
      <c r="E32" s="30"/>
      <c r="F32" s="30"/>
      <c r="G32" s="30"/>
      <c r="H32" s="31">
        <f t="shared" si="12"/>
        <v>0</v>
      </c>
      <c r="I32" s="32">
        <f t="shared" si="13"/>
        <v>0</v>
      </c>
      <c r="J32" s="33">
        <f>12+6+120</f>
        <v>138</v>
      </c>
      <c r="K32" s="33">
        <f t="shared" si="14"/>
        <v>138</v>
      </c>
      <c r="L32" s="31">
        <v>0</v>
      </c>
      <c r="M32" s="34"/>
      <c r="N32" s="40"/>
      <c r="O32" s="36"/>
      <c r="P32" s="37">
        <f t="shared" si="15"/>
        <v>0</v>
      </c>
      <c r="Q32" s="33"/>
      <c r="R32" s="33">
        <f t="shared" si="16"/>
        <v>0</v>
      </c>
      <c r="S32" s="101"/>
      <c r="T32" s="38">
        <f t="shared" si="17"/>
        <v>0</v>
      </c>
    </row>
    <row r="33" spans="1:20" ht="15.75" customHeight="1" x14ac:dyDescent="0.5">
      <c r="A33" s="26" t="s">
        <v>23</v>
      </c>
      <c r="B33" s="95">
        <v>396</v>
      </c>
      <c r="C33" s="28"/>
      <c r="D33" s="29"/>
      <c r="E33" s="42">
        <v>6</v>
      </c>
      <c r="F33" s="30"/>
      <c r="G33" s="30"/>
      <c r="H33" s="31">
        <f t="shared" si="12"/>
        <v>6</v>
      </c>
      <c r="I33" s="32">
        <f t="shared" si="13"/>
        <v>390</v>
      </c>
      <c r="J33" s="41">
        <v>408</v>
      </c>
      <c r="K33" s="33">
        <f t="shared" si="14"/>
        <v>18</v>
      </c>
      <c r="L33" s="31">
        <v>7</v>
      </c>
      <c r="M33" s="34"/>
      <c r="N33" s="35"/>
      <c r="O33" s="53"/>
      <c r="P33" s="37">
        <f t="shared" si="15"/>
        <v>7</v>
      </c>
      <c r="Q33" s="41">
        <v>7</v>
      </c>
      <c r="R33" s="33">
        <f t="shared" si="16"/>
        <v>0</v>
      </c>
      <c r="S33" s="101"/>
      <c r="T33" s="38">
        <f t="shared" si="17"/>
        <v>397</v>
      </c>
    </row>
    <row r="34" spans="1:20" ht="15.75" customHeight="1" x14ac:dyDescent="0.5">
      <c r="A34" s="26" t="s">
        <v>25</v>
      </c>
      <c r="B34" s="95">
        <v>72</v>
      </c>
      <c r="C34" s="28"/>
      <c r="D34" s="39"/>
      <c r="E34" s="42">
        <v>39</v>
      </c>
      <c r="F34" s="42"/>
      <c r="G34" s="30"/>
      <c r="H34" s="31">
        <f t="shared" si="12"/>
        <v>39</v>
      </c>
      <c r="I34" s="32">
        <f t="shared" si="13"/>
        <v>33</v>
      </c>
      <c r="J34" s="33">
        <f>12+9+216+12</f>
        <v>249</v>
      </c>
      <c r="K34" s="33">
        <f t="shared" si="14"/>
        <v>216</v>
      </c>
      <c r="L34" s="31">
        <v>120</v>
      </c>
      <c r="M34" s="64"/>
      <c r="N34" s="35">
        <v>1</v>
      </c>
      <c r="O34" s="53">
        <v>11</v>
      </c>
      <c r="P34" s="37">
        <f t="shared" si="15"/>
        <v>110</v>
      </c>
      <c r="Q34" s="41">
        <f>112+4</f>
        <v>116</v>
      </c>
      <c r="R34" s="33">
        <f t="shared" si="16"/>
        <v>6</v>
      </c>
      <c r="S34" s="101"/>
      <c r="T34" s="38">
        <f t="shared" si="17"/>
        <v>143</v>
      </c>
    </row>
    <row r="35" spans="1:20" ht="15.75" customHeight="1" x14ac:dyDescent="0.5">
      <c r="A35" s="26" t="s">
        <v>26</v>
      </c>
      <c r="B35" s="95">
        <v>37</v>
      </c>
      <c r="C35" s="28"/>
      <c r="D35" s="29"/>
      <c r="E35" s="42"/>
      <c r="F35" s="30"/>
      <c r="G35" s="30"/>
      <c r="H35" s="31">
        <f t="shared" si="12"/>
        <v>0</v>
      </c>
      <c r="I35" s="32">
        <f t="shared" si="13"/>
        <v>37</v>
      </c>
      <c r="J35" s="33">
        <f>24+24+24</f>
        <v>72</v>
      </c>
      <c r="K35" s="33">
        <f t="shared" si="14"/>
        <v>35</v>
      </c>
      <c r="L35" s="31">
        <v>3</v>
      </c>
      <c r="M35" s="34"/>
      <c r="N35" s="40"/>
      <c r="O35" s="53">
        <v>7</v>
      </c>
      <c r="P35" s="37">
        <f t="shared" si="15"/>
        <v>-4</v>
      </c>
      <c r="Q35" s="41">
        <v>4</v>
      </c>
      <c r="R35" s="33">
        <f t="shared" si="16"/>
        <v>8</v>
      </c>
      <c r="S35" s="101"/>
      <c r="T35" s="38">
        <f t="shared" si="17"/>
        <v>33</v>
      </c>
    </row>
    <row r="36" spans="1:20" ht="15.75" customHeight="1" x14ac:dyDescent="0.5">
      <c r="A36" s="15" t="s">
        <v>43</v>
      </c>
      <c r="B36" s="62"/>
      <c r="C36" s="57"/>
      <c r="D36" s="58"/>
      <c r="E36" s="59"/>
      <c r="F36" s="59"/>
      <c r="G36" s="59"/>
      <c r="H36" s="21"/>
      <c r="I36" s="21"/>
      <c r="J36" s="49"/>
      <c r="K36" s="49"/>
      <c r="L36" s="21"/>
      <c r="M36" s="60"/>
      <c r="N36" s="61"/>
      <c r="O36" s="59"/>
      <c r="P36" s="47"/>
      <c r="Q36" s="49"/>
      <c r="R36" s="49"/>
      <c r="S36" s="49"/>
      <c r="T36" s="47"/>
    </row>
    <row r="37" spans="1:20" ht="15.75" customHeight="1" x14ac:dyDescent="0.5">
      <c r="A37" s="26" t="s">
        <v>29</v>
      </c>
      <c r="B37" s="95">
        <v>306</v>
      </c>
      <c r="C37" s="55">
        <v>211</v>
      </c>
      <c r="D37" s="39"/>
      <c r="E37" s="42"/>
      <c r="F37" s="42">
        <v>200</v>
      </c>
      <c r="G37" s="42">
        <v>6</v>
      </c>
      <c r="H37" s="31">
        <f t="shared" ref="H37:H51" si="18">SUM(E37:G37)</f>
        <v>206</v>
      </c>
      <c r="I37" s="32">
        <f t="shared" ref="I37:I51" si="19">B37-H37+C37+D37</f>
        <v>311</v>
      </c>
      <c r="J37" s="33">
        <f>7+19+120+2+96</f>
        <v>244</v>
      </c>
      <c r="K37" s="33">
        <f t="shared" ref="K37:K51" si="20">J37-I37</f>
        <v>-67</v>
      </c>
      <c r="L37" s="31">
        <v>174</v>
      </c>
      <c r="M37" s="64"/>
      <c r="N37" s="35"/>
      <c r="O37" s="53">
        <v>36</v>
      </c>
      <c r="P37" s="37">
        <f t="shared" ref="P37:P51" si="21">L37-O37+M37+N37</f>
        <v>138</v>
      </c>
      <c r="Q37" s="33">
        <f>96+13+9</f>
        <v>118</v>
      </c>
      <c r="R37" s="33">
        <f t="shared" ref="R37:R51" si="22">Q37-P37</f>
        <v>-20</v>
      </c>
      <c r="S37" s="101"/>
      <c r="T37" s="38">
        <f t="shared" ref="T37:T51" si="23">I37+P37</f>
        <v>449</v>
      </c>
    </row>
    <row r="38" spans="1:20" ht="15.75" customHeight="1" x14ac:dyDescent="0.5">
      <c r="A38" s="26" t="s">
        <v>44</v>
      </c>
      <c r="B38" s="95">
        <v>155</v>
      </c>
      <c r="C38" s="55"/>
      <c r="D38" s="29"/>
      <c r="E38" s="42"/>
      <c r="F38" s="42"/>
      <c r="G38" s="30"/>
      <c r="H38" s="31">
        <f t="shared" si="18"/>
        <v>0</v>
      </c>
      <c r="I38" s="32">
        <f t="shared" si="19"/>
        <v>155</v>
      </c>
      <c r="J38" s="33">
        <f>96+4+72+5</f>
        <v>177</v>
      </c>
      <c r="K38" s="33">
        <f t="shared" si="20"/>
        <v>22</v>
      </c>
      <c r="L38" s="31">
        <v>91</v>
      </c>
      <c r="M38" s="64"/>
      <c r="N38" s="40"/>
      <c r="O38" s="53"/>
      <c r="P38" s="37">
        <f t="shared" si="21"/>
        <v>91</v>
      </c>
      <c r="Q38" s="41">
        <f>96+17</f>
        <v>113</v>
      </c>
      <c r="R38" s="33">
        <f t="shared" si="22"/>
        <v>22</v>
      </c>
      <c r="S38" s="101"/>
      <c r="T38" s="38">
        <f t="shared" si="23"/>
        <v>246</v>
      </c>
    </row>
    <row r="39" spans="1:20" ht="15.75" customHeight="1" x14ac:dyDescent="0.5">
      <c r="A39" s="26" t="s">
        <v>30</v>
      </c>
      <c r="B39" s="95">
        <v>1518</v>
      </c>
      <c r="C39" s="55">
        <f>223+47</f>
        <v>270</v>
      </c>
      <c r="D39" s="39">
        <f>4+2</f>
        <v>6</v>
      </c>
      <c r="E39" s="42">
        <v>104</v>
      </c>
      <c r="F39" s="42"/>
      <c r="G39" s="42">
        <v>44</v>
      </c>
      <c r="H39" s="31">
        <f t="shared" si="18"/>
        <v>148</v>
      </c>
      <c r="I39" s="32">
        <f t="shared" si="19"/>
        <v>1646</v>
      </c>
      <c r="J39" s="33">
        <f>120+96+312+96+11+120+120+96+18+123+120+120+48+15+188</f>
        <v>1603</v>
      </c>
      <c r="K39" s="33">
        <f t="shared" si="20"/>
        <v>-43</v>
      </c>
      <c r="L39" s="31">
        <v>191</v>
      </c>
      <c r="M39" s="64"/>
      <c r="N39" s="35">
        <v>1</v>
      </c>
      <c r="O39" s="53">
        <v>110</v>
      </c>
      <c r="P39" s="37">
        <f t="shared" si="21"/>
        <v>82</v>
      </c>
      <c r="Q39" s="41">
        <f>48+10+120</f>
        <v>178</v>
      </c>
      <c r="R39" s="33">
        <f t="shared" si="22"/>
        <v>96</v>
      </c>
      <c r="S39" s="101"/>
      <c r="T39" s="38">
        <f t="shared" si="23"/>
        <v>1728</v>
      </c>
    </row>
    <row r="40" spans="1:20" ht="15.75" customHeight="1" x14ac:dyDescent="0.5">
      <c r="A40" s="26" t="s">
        <v>31</v>
      </c>
      <c r="B40" s="95">
        <v>33</v>
      </c>
      <c r="C40" s="55">
        <v>210</v>
      </c>
      <c r="D40" s="29"/>
      <c r="E40" s="30"/>
      <c r="F40" s="42"/>
      <c r="G40" s="30"/>
      <c r="H40" s="31">
        <f t="shared" si="18"/>
        <v>0</v>
      </c>
      <c r="I40" s="32">
        <f t="shared" si="19"/>
        <v>243</v>
      </c>
      <c r="J40" s="33">
        <f>24+9</f>
        <v>33</v>
      </c>
      <c r="K40" s="33">
        <f t="shared" si="20"/>
        <v>-210</v>
      </c>
      <c r="L40" s="31">
        <v>46</v>
      </c>
      <c r="M40" s="34"/>
      <c r="N40" s="35"/>
      <c r="O40" s="53">
        <v>4</v>
      </c>
      <c r="P40" s="37">
        <f t="shared" si="21"/>
        <v>42</v>
      </c>
      <c r="Q40" s="41">
        <v>96</v>
      </c>
      <c r="R40" s="33">
        <f t="shared" si="22"/>
        <v>54</v>
      </c>
      <c r="S40" s="101"/>
      <c r="T40" s="38">
        <f t="shared" si="23"/>
        <v>285</v>
      </c>
    </row>
    <row r="41" spans="1:20" ht="15.75" customHeight="1" x14ac:dyDescent="0.5">
      <c r="A41" s="26" t="s">
        <v>32</v>
      </c>
      <c r="B41" s="95">
        <v>52</v>
      </c>
      <c r="C41" s="63"/>
      <c r="D41" s="29"/>
      <c r="E41" s="30"/>
      <c r="F41" s="30"/>
      <c r="G41" s="30"/>
      <c r="H41" s="31">
        <f t="shared" si="18"/>
        <v>0</v>
      </c>
      <c r="I41" s="32">
        <f t="shared" si="19"/>
        <v>52</v>
      </c>
      <c r="J41" s="33">
        <f>48+4</f>
        <v>52</v>
      </c>
      <c r="K41" s="33">
        <f t="shared" si="20"/>
        <v>0</v>
      </c>
      <c r="L41" s="31">
        <v>90</v>
      </c>
      <c r="M41" s="34"/>
      <c r="N41" s="40"/>
      <c r="O41" s="53">
        <v>27</v>
      </c>
      <c r="P41" s="37">
        <f t="shared" si="21"/>
        <v>63</v>
      </c>
      <c r="Q41" s="41">
        <f>72+18</f>
        <v>90</v>
      </c>
      <c r="R41" s="33">
        <f t="shared" si="22"/>
        <v>27</v>
      </c>
      <c r="S41" s="101"/>
      <c r="T41" s="38">
        <f t="shared" si="23"/>
        <v>115</v>
      </c>
    </row>
    <row r="42" spans="1:20" ht="15.75" customHeight="1" x14ac:dyDescent="0.5">
      <c r="A42" s="26" t="s">
        <v>33</v>
      </c>
      <c r="B42" s="95">
        <v>265</v>
      </c>
      <c r="C42" s="63"/>
      <c r="D42" s="39">
        <v>1</v>
      </c>
      <c r="E42" s="42">
        <v>31</v>
      </c>
      <c r="F42" s="42"/>
      <c r="G42" s="42">
        <v>20</v>
      </c>
      <c r="H42" s="31">
        <f t="shared" si="18"/>
        <v>51</v>
      </c>
      <c r="I42" s="32">
        <f t="shared" si="19"/>
        <v>215</v>
      </c>
      <c r="J42" s="33">
        <f>96+72+12+120</f>
        <v>300</v>
      </c>
      <c r="K42" s="33">
        <f t="shared" si="20"/>
        <v>85</v>
      </c>
      <c r="L42" s="31">
        <v>109</v>
      </c>
      <c r="M42" s="34"/>
      <c r="N42" s="35"/>
      <c r="O42" s="53">
        <v>42</v>
      </c>
      <c r="P42" s="37">
        <f t="shared" si="21"/>
        <v>67</v>
      </c>
      <c r="Q42" s="33">
        <f>96+12</f>
        <v>108</v>
      </c>
      <c r="R42" s="33">
        <f t="shared" si="22"/>
        <v>41</v>
      </c>
      <c r="S42" s="101"/>
      <c r="T42" s="38">
        <f t="shared" si="23"/>
        <v>282</v>
      </c>
    </row>
    <row r="43" spans="1:20" ht="15.75" customHeight="1" x14ac:dyDescent="0.5">
      <c r="A43" s="26" t="s">
        <v>34</v>
      </c>
      <c r="B43" s="95">
        <v>143</v>
      </c>
      <c r="C43" s="55">
        <v>172</v>
      </c>
      <c r="D43" s="29"/>
      <c r="E43" s="42">
        <v>1</v>
      </c>
      <c r="F43" s="42"/>
      <c r="G43" s="42">
        <v>30</v>
      </c>
      <c r="H43" s="31">
        <f t="shared" si="18"/>
        <v>31</v>
      </c>
      <c r="I43" s="32">
        <f t="shared" si="19"/>
        <v>284</v>
      </c>
      <c r="J43" s="33">
        <f>72+10+72+17</f>
        <v>171</v>
      </c>
      <c r="K43" s="33">
        <f t="shared" si="20"/>
        <v>-113</v>
      </c>
      <c r="L43" s="31">
        <v>204</v>
      </c>
      <c r="M43" s="64">
        <v>100</v>
      </c>
      <c r="N43" s="35"/>
      <c r="O43" s="53">
        <v>106</v>
      </c>
      <c r="P43" s="37">
        <f t="shared" si="21"/>
        <v>198</v>
      </c>
      <c r="Q43" s="33">
        <f>24+7+48+3+120</f>
        <v>202</v>
      </c>
      <c r="R43" s="33">
        <f t="shared" si="22"/>
        <v>4</v>
      </c>
      <c r="S43" s="101"/>
      <c r="T43" s="38">
        <f t="shared" si="23"/>
        <v>482</v>
      </c>
    </row>
    <row r="44" spans="1:20" ht="15.75" customHeight="1" x14ac:dyDescent="0.5">
      <c r="A44" s="26" t="s">
        <v>23</v>
      </c>
      <c r="B44" s="95">
        <v>184</v>
      </c>
      <c r="C44" s="55"/>
      <c r="D44" s="29"/>
      <c r="E44" s="30"/>
      <c r="F44" s="30"/>
      <c r="G44" s="30"/>
      <c r="H44" s="31">
        <f t="shared" si="18"/>
        <v>0</v>
      </c>
      <c r="I44" s="32">
        <f t="shared" si="19"/>
        <v>184</v>
      </c>
      <c r="J44" s="33">
        <f>120+72+5</f>
        <v>197</v>
      </c>
      <c r="K44" s="33">
        <f t="shared" si="20"/>
        <v>13</v>
      </c>
      <c r="L44" s="31">
        <v>82</v>
      </c>
      <c r="M44" s="64"/>
      <c r="N44" s="35"/>
      <c r="O44" s="53">
        <v>12</v>
      </c>
      <c r="P44" s="37">
        <f t="shared" si="21"/>
        <v>70</v>
      </c>
      <c r="Q44" s="41">
        <v>80</v>
      </c>
      <c r="R44" s="33">
        <f t="shared" si="22"/>
        <v>10</v>
      </c>
      <c r="S44" s="101"/>
      <c r="T44" s="38">
        <f t="shared" si="23"/>
        <v>254</v>
      </c>
    </row>
    <row r="45" spans="1:20" ht="15.75" customHeight="1" x14ac:dyDescent="0.5">
      <c r="A45" s="26" t="s">
        <v>35</v>
      </c>
      <c r="B45" s="95">
        <v>1099</v>
      </c>
      <c r="C45" s="55">
        <v>348</v>
      </c>
      <c r="D45" s="39">
        <v>2</v>
      </c>
      <c r="E45" s="42">
        <f>28+52</f>
        <v>80</v>
      </c>
      <c r="F45" s="42"/>
      <c r="G45" s="42">
        <f>10+5</f>
        <v>15</v>
      </c>
      <c r="H45" s="31">
        <f t="shared" si="18"/>
        <v>95</v>
      </c>
      <c r="I45" s="32">
        <f t="shared" si="19"/>
        <v>1354</v>
      </c>
      <c r="J45" s="33">
        <f>220+3+480+48+29+96+76+96+4+80</f>
        <v>1132</v>
      </c>
      <c r="K45" s="33">
        <f t="shared" si="20"/>
        <v>-222</v>
      </c>
      <c r="L45" s="31">
        <v>133</v>
      </c>
      <c r="M45" s="64">
        <v>297</v>
      </c>
      <c r="N45" s="35">
        <v>1</v>
      </c>
      <c r="O45" s="53">
        <v>117</v>
      </c>
      <c r="P45" s="37">
        <f t="shared" si="21"/>
        <v>314</v>
      </c>
      <c r="Q45" s="33">
        <f>96+120+24+7+24+20+48+10</f>
        <v>349</v>
      </c>
      <c r="R45" s="33">
        <f t="shared" si="22"/>
        <v>35</v>
      </c>
      <c r="S45" s="101"/>
      <c r="T45" s="38">
        <f t="shared" si="23"/>
        <v>1668</v>
      </c>
    </row>
    <row r="46" spans="1:20" ht="15.75" customHeight="1" x14ac:dyDescent="0.5">
      <c r="A46" s="26" t="s">
        <v>36</v>
      </c>
      <c r="B46" s="95">
        <v>156</v>
      </c>
      <c r="C46" s="55"/>
      <c r="D46" s="29"/>
      <c r="E46" s="30"/>
      <c r="F46" s="42"/>
      <c r="G46" s="42">
        <v>10</v>
      </c>
      <c r="H46" s="31">
        <f t="shared" si="18"/>
        <v>10</v>
      </c>
      <c r="I46" s="32">
        <f t="shared" si="19"/>
        <v>146</v>
      </c>
      <c r="J46" s="33">
        <f>96+3+48+9</f>
        <v>156</v>
      </c>
      <c r="K46" s="33">
        <f t="shared" si="20"/>
        <v>10</v>
      </c>
      <c r="L46" s="31">
        <v>66</v>
      </c>
      <c r="M46" s="34"/>
      <c r="N46" s="40"/>
      <c r="O46" s="53">
        <v>3</v>
      </c>
      <c r="P46" s="37">
        <f t="shared" si="21"/>
        <v>63</v>
      </c>
      <c r="Q46" s="41">
        <f>48+21</f>
        <v>69</v>
      </c>
      <c r="R46" s="33">
        <f t="shared" si="22"/>
        <v>6</v>
      </c>
      <c r="S46" s="101"/>
      <c r="T46" s="38">
        <f t="shared" si="23"/>
        <v>209</v>
      </c>
    </row>
    <row r="47" spans="1:20" ht="15.75" customHeight="1" x14ac:dyDescent="0.5">
      <c r="A47" s="26" t="s">
        <v>24</v>
      </c>
      <c r="B47" s="95">
        <v>382</v>
      </c>
      <c r="C47" s="55">
        <f>367+263</f>
        <v>630</v>
      </c>
      <c r="D47" s="39"/>
      <c r="E47" s="42">
        <f>42+24</f>
        <v>66</v>
      </c>
      <c r="F47" s="42"/>
      <c r="G47" s="42">
        <v>5</v>
      </c>
      <c r="H47" s="31">
        <f t="shared" si="18"/>
        <v>71</v>
      </c>
      <c r="I47" s="32">
        <f t="shared" si="19"/>
        <v>941</v>
      </c>
      <c r="J47" s="33">
        <f>96+48+18+120+96+16</f>
        <v>394</v>
      </c>
      <c r="K47" s="33">
        <f t="shared" si="20"/>
        <v>-547</v>
      </c>
      <c r="L47" s="31">
        <v>974</v>
      </c>
      <c r="M47" s="64">
        <v>630</v>
      </c>
      <c r="N47" s="35">
        <v>1</v>
      </c>
      <c r="O47" s="53">
        <v>396</v>
      </c>
      <c r="P47" s="37">
        <f t="shared" si="21"/>
        <v>1209</v>
      </c>
      <c r="Q47" s="33">
        <f>120+120+96+96+120+10+120+120</f>
        <v>802</v>
      </c>
      <c r="R47" s="33">
        <f t="shared" si="22"/>
        <v>-407</v>
      </c>
      <c r="S47" s="101"/>
      <c r="T47" s="38">
        <f t="shared" si="23"/>
        <v>2150</v>
      </c>
    </row>
    <row r="48" spans="1:20" ht="15.75" customHeight="1" x14ac:dyDescent="0.5">
      <c r="A48" s="26" t="s">
        <v>37</v>
      </c>
      <c r="B48" s="95">
        <v>310</v>
      </c>
      <c r="C48" s="63"/>
      <c r="D48" s="39">
        <v>1</v>
      </c>
      <c r="E48" s="42">
        <v>19</v>
      </c>
      <c r="F48" s="42"/>
      <c r="G48" s="30"/>
      <c r="H48" s="31">
        <f t="shared" si="18"/>
        <v>19</v>
      </c>
      <c r="I48" s="32">
        <f t="shared" si="19"/>
        <v>292</v>
      </c>
      <c r="J48" s="41">
        <v>232</v>
      </c>
      <c r="K48" s="33">
        <f t="shared" si="20"/>
        <v>-60</v>
      </c>
      <c r="L48" s="31">
        <v>39</v>
      </c>
      <c r="M48" s="64"/>
      <c r="N48" s="35">
        <v>2</v>
      </c>
      <c r="O48" s="53">
        <v>67</v>
      </c>
      <c r="P48" s="37">
        <f t="shared" si="21"/>
        <v>-26</v>
      </c>
      <c r="Q48" s="33">
        <f>72+96+7+24+14</f>
        <v>213</v>
      </c>
      <c r="R48" s="33">
        <f t="shared" si="22"/>
        <v>239</v>
      </c>
      <c r="S48" s="101"/>
      <c r="T48" s="38">
        <f t="shared" si="23"/>
        <v>266</v>
      </c>
    </row>
    <row r="49" spans="1:20" ht="15.75" customHeight="1" x14ac:dyDescent="0.5">
      <c r="A49" s="26" t="s">
        <v>38</v>
      </c>
      <c r="B49" s="95">
        <v>44</v>
      </c>
      <c r="C49" s="55">
        <v>173</v>
      </c>
      <c r="D49" s="29"/>
      <c r="E49" s="42"/>
      <c r="F49" s="30"/>
      <c r="G49" s="30"/>
      <c r="H49" s="31">
        <f t="shared" si="18"/>
        <v>0</v>
      </c>
      <c r="I49" s="32">
        <f t="shared" si="19"/>
        <v>217</v>
      </c>
      <c r="J49" s="41">
        <v>48</v>
      </c>
      <c r="K49" s="33">
        <f t="shared" si="20"/>
        <v>-169</v>
      </c>
      <c r="L49" s="31">
        <v>42</v>
      </c>
      <c r="M49" s="34"/>
      <c r="N49" s="35">
        <v>7</v>
      </c>
      <c r="O49" s="53">
        <v>21</v>
      </c>
      <c r="P49" s="37">
        <f t="shared" si="21"/>
        <v>28</v>
      </c>
      <c r="Q49" s="41">
        <f>24+17</f>
        <v>41</v>
      </c>
      <c r="R49" s="33">
        <f t="shared" si="22"/>
        <v>13</v>
      </c>
      <c r="S49" s="101"/>
      <c r="T49" s="38">
        <f t="shared" si="23"/>
        <v>245</v>
      </c>
    </row>
    <row r="50" spans="1:20" ht="15.75" customHeight="1" x14ac:dyDescent="0.5">
      <c r="A50" s="26" t="s">
        <v>39</v>
      </c>
      <c r="B50" s="95">
        <v>367</v>
      </c>
      <c r="C50" s="28"/>
      <c r="D50" s="29"/>
      <c r="E50" s="42">
        <f>4+16</f>
        <v>20</v>
      </c>
      <c r="F50" s="30"/>
      <c r="G50" s="30"/>
      <c r="H50" s="31">
        <f t="shared" si="18"/>
        <v>20</v>
      </c>
      <c r="I50" s="32">
        <f t="shared" si="19"/>
        <v>347</v>
      </c>
      <c r="J50" s="33">
        <f>35+68+280</f>
        <v>383</v>
      </c>
      <c r="K50" s="33">
        <f t="shared" si="20"/>
        <v>36</v>
      </c>
      <c r="L50" s="31">
        <v>60</v>
      </c>
      <c r="M50" s="34"/>
      <c r="N50" s="35">
        <v>1</v>
      </c>
      <c r="O50" s="53">
        <v>7</v>
      </c>
      <c r="P50" s="37">
        <f t="shared" si="21"/>
        <v>54</v>
      </c>
      <c r="Q50" s="33">
        <f>48+15</f>
        <v>63</v>
      </c>
      <c r="R50" s="33">
        <f t="shared" si="22"/>
        <v>9</v>
      </c>
      <c r="S50" s="101"/>
      <c r="T50" s="38">
        <f t="shared" si="23"/>
        <v>401</v>
      </c>
    </row>
    <row r="51" spans="1:20" ht="15.75" customHeight="1" x14ac:dyDescent="0.5">
      <c r="A51" s="26" t="s">
        <v>40</v>
      </c>
      <c r="B51" s="95">
        <v>0</v>
      </c>
      <c r="C51" s="28"/>
      <c r="D51" s="29"/>
      <c r="E51" s="30"/>
      <c r="F51" s="30"/>
      <c r="G51" s="30"/>
      <c r="H51" s="31">
        <f t="shared" si="18"/>
        <v>0</v>
      </c>
      <c r="I51" s="32">
        <f t="shared" si="19"/>
        <v>0</v>
      </c>
      <c r="J51" s="33"/>
      <c r="K51" s="33">
        <f t="shared" si="20"/>
        <v>0</v>
      </c>
      <c r="L51" s="31">
        <v>54</v>
      </c>
      <c r="M51" s="34"/>
      <c r="N51" s="40"/>
      <c r="O51" s="53">
        <v>23</v>
      </c>
      <c r="P51" s="37">
        <f t="shared" si="21"/>
        <v>31</v>
      </c>
      <c r="Q51" s="41">
        <f>48+7</f>
        <v>55</v>
      </c>
      <c r="R51" s="33">
        <f t="shared" si="22"/>
        <v>24</v>
      </c>
      <c r="S51" s="101"/>
      <c r="T51" s="38">
        <f t="shared" si="23"/>
        <v>31</v>
      </c>
    </row>
    <row r="52" spans="1:20" ht="15.75" customHeight="1" x14ac:dyDescent="0.5">
      <c r="A52" s="65" t="s">
        <v>45</v>
      </c>
      <c r="B52" s="66"/>
      <c r="C52" s="67"/>
      <c r="D52" s="58"/>
      <c r="E52" s="59"/>
      <c r="F52" s="59"/>
      <c r="G52" s="59"/>
      <c r="H52" s="21"/>
      <c r="I52" s="21"/>
      <c r="J52" s="49"/>
      <c r="K52" s="49"/>
      <c r="L52" s="21"/>
      <c r="M52" s="60"/>
      <c r="N52" s="61"/>
      <c r="O52" s="59"/>
      <c r="P52" s="21"/>
      <c r="Q52" s="49"/>
      <c r="R52" s="49"/>
      <c r="S52" s="49"/>
      <c r="T52" s="21"/>
    </row>
    <row r="53" spans="1:20" ht="15.75" customHeight="1" x14ac:dyDescent="0.5">
      <c r="A53" s="26" t="s">
        <v>20</v>
      </c>
      <c r="B53" s="95">
        <v>0</v>
      </c>
      <c r="C53" s="28"/>
      <c r="D53" s="29"/>
      <c r="E53" s="30"/>
      <c r="F53" s="30"/>
      <c r="G53" s="30"/>
      <c r="H53" s="31">
        <f t="shared" ref="H53:H57" si="24">SUM(E53:G53)</f>
        <v>0</v>
      </c>
      <c r="I53" s="32">
        <f t="shared" ref="I53:I57" si="25">B53-H53+C53+D53</f>
        <v>0</v>
      </c>
      <c r="J53" s="33"/>
      <c r="K53" s="33">
        <f t="shared" ref="K53:K57" si="26">J53-I53</f>
        <v>0</v>
      </c>
      <c r="L53" s="31">
        <v>99</v>
      </c>
      <c r="M53" s="34"/>
      <c r="N53" s="35"/>
      <c r="O53" s="53">
        <v>10</v>
      </c>
      <c r="P53" s="37">
        <f t="shared" ref="P53:P57" si="27">L53-O53+M53+N53</f>
        <v>89</v>
      </c>
      <c r="Q53" s="41">
        <f>96+1</f>
        <v>97</v>
      </c>
      <c r="R53" s="33">
        <f t="shared" ref="R53:R57" si="28">Q53-P53</f>
        <v>8</v>
      </c>
      <c r="S53" s="101"/>
      <c r="T53" s="38">
        <f t="shared" ref="T53:T65" si="29">I53+P53</f>
        <v>89</v>
      </c>
    </row>
    <row r="54" spans="1:20" ht="15.75" customHeight="1" x14ac:dyDescent="0.5">
      <c r="A54" s="26" t="s">
        <v>21</v>
      </c>
      <c r="B54" s="95">
        <v>0</v>
      </c>
      <c r="C54" s="28"/>
      <c r="D54" s="29"/>
      <c r="E54" s="30"/>
      <c r="F54" s="30"/>
      <c r="G54" s="30"/>
      <c r="H54" s="31">
        <f t="shared" si="24"/>
        <v>0</v>
      </c>
      <c r="I54" s="32">
        <f t="shared" si="25"/>
        <v>0</v>
      </c>
      <c r="J54" s="33"/>
      <c r="K54" s="33">
        <f t="shared" si="26"/>
        <v>0</v>
      </c>
      <c r="L54" s="31">
        <v>79</v>
      </c>
      <c r="M54" s="64"/>
      <c r="N54" s="40"/>
      <c r="O54" s="53">
        <v>15</v>
      </c>
      <c r="P54" s="37">
        <f t="shared" si="27"/>
        <v>64</v>
      </c>
      <c r="Q54" s="41">
        <f>72+9</f>
        <v>81</v>
      </c>
      <c r="R54" s="33">
        <f t="shared" si="28"/>
        <v>17</v>
      </c>
      <c r="S54" s="101"/>
      <c r="T54" s="38">
        <f t="shared" si="29"/>
        <v>64</v>
      </c>
    </row>
    <row r="55" spans="1:20" ht="15.75" customHeight="1" x14ac:dyDescent="0.5">
      <c r="A55" s="26" t="s">
        <v>22</v>
      </c>
      <c r="B55" s="95">
        <v>0</v>
      </c>
      <c r="C55" s="54">
        <v>62</v>
      </c>
      <c r="D55" s="29"/>
      <c r="E55" s="30"/>
      <c r="F55" s="30"/>
      <c r="G55" s="30"/>
      <c r="H55" s="31">
        <f t="shared" si="24"/>
        <v>0</v>
      </c>
      <c r="I55" s="32">
        <f t="shared" si="25"/>
        <v>62</v>
      </c>
      <c r="J55" s="33"/>
      <c r="K55" s="33">
        <f t="shared" si="26"/>
        <v>-62</v>
      </c>
      <c r="L55" s="31">
        <v>50</v>
      </c>
      <c r="M55" s="64">
        <v>62</v>
      </c>
      <c r="N55" s="40"/>
      <c r="O55" s="53">
        <v>5</v>
      </c>
      <c r="P55" s="37">
        <f t="shared" si="27"/>
        <v>107</v>
      </c>
      <c r="Q55" s="33">
        <f>48+3</f>
        <v>51</v>
      </c>
      <c r="R55" s="33">
        <f t="shared" si="28"/>
        <v>-56</v>
      </c>
      <c r="S55" s="101"/>
      <c r="T55" s="38">
        <f t="shared" si="29"/>
        <v>169</v>
      </c>
    </row>
    <row r="56" spans="1:20" ht="15.75" customHeight="1" x14ac:dyDescent="0.5">
      <c r="A56" s="26" t="s">
        <v>23</v>
      </c>
      <c r="B56" s="95">
        <v>0</v>
      </c>
      <c r="C56" s="28"/>
      <c r="D56" s="29"/>
      <c r="E56" s="30"/>
      <c r="F56" s="30"/>
      <c r="G56" s="30"/>
      <c r="H56" s="31">
        <f t="shared" si="24"/>
        <v>0</v>
      </c>
      <c r="I56" s="32">
        <f t="shared" si="25"/>
        <v>0</v>
      </c>
      <c r="J56" s="33"/>
      <c r="K56" s="33">
        <f t="shared" si="26"/>
        <v>0</v>
      </c>
      <c r="L56" s="31">
        <v>103</v>
      </c>
      <c r="M56" s="64"/>
      <c r="N56" s="35">
        <v>1</v>
      </c>
      <c r="O56" s="53">
        <v>4</v>
      </c>
      <c r="P56" s="37">
        <f t="shared" si="27"/>
        <v>100</v>
      </c>
      <c r="Q56" s="33">
        <f>96+6</f>
        <v>102</v>
      </c>
      <c r="R56" s="33">
        <f t="shared" si="28"/>
        <v>2</v>
      </c>
      <c r="S56" s="101"/>
      <c r="T56" s="38">
        <f t="shared" si="29"/>
        <v>100</v>
      </c>
    </row>
    <row r="57" spans="1:20" ht="18" customHeight="1" x14ac:dyDescent="0.5">
      <c r="A57" s="26" t="s">
        <v>25</v>
      </c>
      <c r="B57" s="95">
        <v>-3</v>
      </c>
      <c r="C57" s="54">
        <v>6</v>
      </c>
      <c r="D57" s="39">
        <v>2</v>
      </c>
      <c r="E57" s="42">
        <v>6</v>
      </c>
      <c r="F57" s="42"/>
      <c r="G57" s="42">
        <v>16</v>
      </c>
      <c r="H57" s="31">
        <f t="shared" si="24"/>
        <v>22</v>
      </c>
      <c r="I57" s="32">
        <f t="shared" si="25"/>
        <v>-17</v>
      </c>
      <c r="J57" s="33"/>
      <c r="K57" s="33">
        <f t="shared" si="26"/>
        <v>17</v>
      </c>
      <c r="L57" s="31">
        <v>101</v>
      </c>
      <c r="M57" s="64"/>
      <c r="N57" s="35"/>
      <c r="O57" s="53">
        <v>16</v>
      </c>
      <c r="P57" s="37">
        <f t="shared" si="27"/>
        <v>85</v>
      </c>
      <c r="Q57" s="33">
        <f>72+21</f>
        <v>93</v>
      </c>
      <c r="R57" s="33">
        <f t="shared" si="28"/>
        <v>8</v>
      </c>
      <c r="S57" s="101"/>
      <c r="T57" s="38">
        <f t="shared" si="29"/>
        <v>68</v>
      </c>
    </row>
    <row r="58" spans="1:20" ht="15.75" customHeight="1" x14ac:dyDescent="0.5">
      <c r="A58" s="15" t="s">
        <v>46</v>
      </c>
      <c r="B58" s="62"/>
      <c r="C58" s="57"/>
      <c r="D58" s="58"/>
      <c r="E58" s="59"/>
      <c r="F58" s="59"/>
      <c r="G58" s="59"/>
      <c r="H58" s="21"/>
      <c r="I58" s="21"/>
      <c r="J58" s="49"/>
      <c r="K58" s="49"/>
      <c r="L58" s="21"/>
      <c r="M58" s="60"/>
      <c r="N58" s="61"/>
      <c r="O58" s="59"/>
      <c r="P58" s="21"/>
      <c r="Q58" s="49"/>
      <c r="R58" s="49"/>
      <c r="S58" s="102"/>
      <c r="T58" s="38">
        <f t="shared" si="29"/>
        <v>0</v>
      </c>
    </row>
    <row r="59" spans="1:20" ht="15.75" customHeight="1" x14ac:dyDescent="0.5">
      <c r="A59" s="26" t="s">
        <v>47</v>
      </c>
      <c r="B59" s="95">
        <v>71</v>
      </c>
      <c r="C59" s="54">
        <v>65</v>
      </c>
      <c r="D59" s="29"/>
      <c r="E59" s="30"/>
      <c r="F59" s="30"/>
      <c r="G59" s="42">
        <v>12</v>
      </c>
      <c r="H59" s="31">
        <f t="shared" ref="H59:H66" si="30">SUM(E59:G59)</f>
        <v>12</v>
      </c>
      <c r="I59" s="32">
        <f t="shared" ref="I59:I66" si="31">B59-H59+C59+D59</f>
        <v>124</v>
      </c>
      <c r="J59" s="33">
        <f>7+3+216</f>
        <v>226</v>
      </c>
      <c r="K59" s="33">
        <f t="shared" ref="K59:K66" si="32">J59-I59</f>
        <v>102</v>
      </c>
      <c r="L59" s="31">
        <v>5</v>
      </c>
      <c r="M59" s="34"/>
      <c r="N59" s="40"/>
      <c r="O59" s="53">
        <v>1</v>
      </c>
      <c r="P59" s="37">
        <f t="shared" ref="P59:P66" si="33">L59-O59+M59+N59</f>
        <v>4</v>
      </c>
      <c r="Q59" s="41">
        <v>4</v>
      </c>
      <c r="R59" s="33">
        <f t="shared" ref="R59:R66" si="34">Q59-P59</f>
        <v>0</v>
      </c>
      <c r="S59" s="101"/>
      <c r="T59" s="38">
        <f t="shared" si="29"/>
        <v>128</v>
      </c>
    </row>
    <row r="60" spans="1:20" ht="15.75" customHeight="1" x14ac:dyDescent="0.5">
      <c r="A60" s="70" t="s">
        <v>48</v>
      </c>
      <c r="B60" s="95">
        <v>-2</v>
      </c>
      <c r="C60" s="28"/>
      <c r="D60" s="29"/>
      <c r="E60" s="30"/>
      <c r="F60" s="30"/>
      <c r="G60" s="30"/>
      <c r="H60" s="31">
        <f t="shared" si="30"/>
        <v>0</v>
      </c>
      <c r="I60" s="32">
        <f t="shared" si="31"/>
        <v>-2</v>
      </c>
      <c r="J60" s="33"/>
      <c r="K60" s="33">
        <f t="shared" si="32"/>
        <v>2</v>
      </c>
      <c r="L60" s="31">
        <v>0</v>
      </c>
      <c r="M60" s="34"/>
      <c r="N60" s="40"/>
      <c r="O60" s="36"/>
      <c r="P60" s="37">
        <f t="shared" si="33"/>
        <v>0</v>
      </c>
      <c r="R60" s="33">
        <f t="shared" si="34"/>
        <v>0</v>
      </c>
      <c r="S60" s="101"/>
      <c r="T60" s="38">
        <f t="shared" si="29"/>
        <v>-2</v>
      </c>
    </row>
    <row r="61" spans="1:20" ht="15.75" customHeight="1" x14ac:dyDescent="0.5">
      <c r="A61" s="26" t="s">
        <v>49</v>
      </c>
      <c r="B61" s="95">
        <v>21</v>
      </c>
      <c r="C61" s="28"/>
      <c r="D61" s="29"/>
      <c r="E61" s="42">
        <v>20</v>
      </c>
      <c r="F61" s="30"/>
      <c r="G61" s="30"/>
      <c r="H61" s="31">
        <f t="shared" si="30"/>
        <v>20</v>
      </c>
      <c r="I61" s="32">
        <f t="shared" si="31"/>
        <v>1</v>
      </c>
      <c r="J61" s="33"/>
      <c r="K61" s="33">
        <f t="shared" si="32"/>
        <v>-1</v>
      </c>
      <c r="L61" s="31">
        <v>12</v>
      </c>
      <c r="M61" s="34"/>
      <c r="N61" s="40"/>
      <c r="O61" s="53">
        <v>9</v>
      </c>
      <c r="P61" s="37">
        <f t="shared" si="33"/>
        <v>3</v>
      </c>
      <c r="Q61" s="41">
        <v>13</v>
      </c>
      <c r="R61" s="33">
        <f t="shared" si="34"/>
        <v>10</v>
      </c>
      <c r="S61" s="101"/>
      <c r="T61" s="38">
        <f t="shared" si="29"/>
        <v>4</v>
      </c>
    </row>
    <row r="62" spans="1:20" ht="15.75" customHeight="1" x14ac:dyDescent="0.5">
      <c r="A62" s="26" t="s">
        <v>50</v>
      </c>
      <c r="B62" s="95">
        <v>0</v>
      </c>
      <c r="C62" s="28"/>
      <c r="D62" s="29"/>
      <c r="E62" s="30"/>
      <c r="F62" s="30"/>
      <c r="G62" s="30"/>
      <c r="H62" s="31">
        <f t="shared" si="30"/>
        <v>0</v>
      </c>
      <c r="I62" s="32">
        <f t="shared" si="31"/>
        <v>0</v>
      </c>
      <c r="J62" s="33"/>
      <c r="K62" s="33">
        <f t="shared" si="32"/>
        <v>0</v>
      </c>
      <c r="L62" s="31">
        <v>70</v>
      </c>
      <c r="M62" s="64"/>
      <c r="N62" s="40"/>
      <c r="O62" s="53">
        <v>11</v>
      </c>
      <c r="P62" s="37">
        <f t="shared" si="33"/>
        <v>59</v>
      </c>
      <c r="Q62" s="33"/>
      <c r="R62" s="33">
        <f t="shared" si="34"/>
        <v>-59</v>
      </c>
      <c r="S62" s="101"/>
      <c r="T62" s="38">
        <f t="shared" si="29"/>
        <v>59</v>
      </c>
    </row>
    <row r="63" spans="1:20" ht="15.75" customHeight="1" x14ac:dyDescent="0.5">
      <c r="A63" s="26" t="s">
        <v>51</v>
      </c>
      <c r="B63" s="95">
        <v>14</v>
      </c>
      <c r="C63" s="28"/>
      <c r="D63" s="29"/>
      <c r="E63" s="30"/>
      <c r="F63" s="30"/>
      <c r="G63" s="30"/>
      <c r="H63" s="31">
        <f t="shared" si="30"/>
        <v>0</v>
      </c>
      <c r="I63" s="32">
        <f t="shared" si="31"/>
        <v>14</v>
      </c>
      <c r="J63" s="41">
        <v>14</v>
      </c>
      <c r="K63" s="33">
        <f t="shared" si="32"/>
        <v>0</v>
      </c>
      <c r="L63" s="31">
        <v>11</v>
      </c>
      <c r="M63" s="34"/>
      <c r="N63" s="40"/>
      <c r="O63" s="53">
        <v>1</v>
      </c>
      <c r="P63" s="37">
        <f t="shared" si="33"/>
        <v>10</v>
      </c>
      <c r="Q63" s="41"/>
      <c r="R63" s="33">
        <f t="shared" si="34"/>
        <v>-10</v>
      </c>
      <c r="S63" s="101"/>
      <c r="T63" s="38">
        <f t="shared" si="29"/>
        <v>24</v>
      </c>
    </row>
    <row r="64" spans="1:20" ht="15.75" customHeight="1" x14ac:dyDescent="0.5">
      <c r="A64" s="26" t="s">
        <v>52</v>
      </c>
      <c r="B64" s="95">
        <v>21</v>
      </c>
      <c r="C64" s="28"/>
      <c r="D64" s="29"/>
      <c r="E64" s="30"/>
      <c r="F64" s="30"/>
      <c r="G64" s="30"/>
      <c r="H64" s="31">
        <f t="shared" si="30"/>
        <v>0</v>
      </c>
      <c r="I64" s="32">
        <f t="shared" si="31"/>
        <v>21</v>
      </c>
      <c r="J64" s="41">
        <v>21</v>
      </c>
      <c r="K64" s="33">
        <f t="shared" si="32"/>
        <v>0</v>
      </c>
      <c r="L64" s="31">
        <v>18</v>
      </c>
      <c r="M64" s="34"/>
      <c r="N64" s="40"/>
      <c r="O64" s="53">
        <v>3</v>
      </c>
      <c r="P64" s="37">
        <f t="shared" si="33"/>
        <v>15</v>
      </c>
      <c r="Q64" s="41">
        <v>18</v>
      </c>
      <c r="R64" s="33">
        <f t="shared" si="34"/>
        <v>3</v>
      </c>
      <c r="S64" s="101"/>
      <c r="T64" s="38">
        <f t="shared" si="29"/>
        <v>36</v>
      </c>
    </row>
    <row r="65" spans="1:20" ht="15.75" customHeight="1" x14ac:dyDescent="0.5">
      <c r="A65" s="72" t="s">
        <v>53</v>
      </c>
      <c r="B65" s="95">
        <v>0</v>
      </c>
      <c r="C65" s="73"/>
      <c r="D65" s="74"/>
      <c r="E65" s="30"/>
      <c r="F65" s="30"/>
      <c r="G65" s="30"/>
      <c r="H65" s="31">
        <f t="shared" si="30"/>
        <v>0</v>
      </c>
      <c r="I65" s="32">
        <f t="shared" si="31"/>
        <v>0</v>
      </c>
      <c r="J65" s="33"/>
      <c r="K65" s="33">
        <f t="shared" si="32"/>
        <v>0</v>
      </c>
      <c r="L65" s="31">
        <v>19</v>
      </c>
      <c r="M65" s="75"/>
      <c r="N65" s="76"/>
      <c r="O65" s="53"/>
      <c r="P65" s="37">
        <f t="shared" si="33"/>
        <v>19</v>
      </c>
      <c r="Q65" s="41">
        <v>19</v>
      </c>
      <c r="R65" s="33">
        <f t="shared" si="34"/>
        <v>0</v>
      </c>
      <c r="S65" s="101"/>
      <c r="T65" s="38">
        <f t="shared" si="29"/>
        <v>19</v>
      </c>
    </row>
    <row r="66" spans="1:20" ht="15.75" customHeight="1" x14ac:dyDescent="0.5">
      <c r="A66" s="77" t="s">
        <v>54</v>
      </c>
      <c r="B66" s="95">
        <v>115</v>
      </c>
      <c r="C66" s="27"/>
      <c r="D66" s="78"/>
      <c r="E66" s="42"/>
      <c r="F66" s="30"/>
      <c r="G66" s="30"/>
      <c r="H66" s="31">
        <f t="shared" si="30"/>
        <v>0</v>
      </c>
      <c r="I66" s="32">
        <f t="shared" si="31"/>
        <v>115</v>
      </c>
      <c r="J66" s="33"/>
      <c r="K66" s="33">
        <f t="shared" si="32"/>
        <v>-115</v>
      </c>
      <c r="L66" s="31">
        <v>39</v>
      </c>
      <c r="M66" s="79"/>
      <c r="N66" s="79"/>
      <c r="O66" s="53"/>
      <c r="P66" s="37">
        <f t="shared" si="33"/>
        <v>39</v>
      </c>
      <c r="Q66" s="41">
        <f>48+21+96+6</f>
        <v>171</v>
      </c>
      <c r="R66" s="33">
        <f t="shared" si="34"/>
        <v>132</v>
      </c>
      <c r="S66" s="101"/>
      <c r="T66" s="38"/>
    </row>
    <row r="67" spans="1:20" ht="24.75" customHeight="1" x14ac:dyDescent="0.75">
      <c r="B67" s="80">
        <f t="shared" ref="B67:D67" si="35">SUM(B6:B66)</f>
        <v>10352</v>
      </c>
      <c r="C67" s="80">
        <f t="shared" si="35"/>
        <v>3451</v>
      </c>
      <c r="D67" s="81">
        <f t="shared" si="35"/>
        <v>25</v>
      </c>
      <c r="E67" s="82">
        <f t="shared" ref="E67:I67" si="36">SUM(E6:E66)</f>
        <v>791</v>
      </c>
      <c r="F67" s="82">
        <f t="shared" si="36"/>
        <v>200</v>
      </c>
      <c r="G67" s="82">
        <f t="shared" si="36"/>
        <v>184</v>
      </c>
      <c r="H67" s="83">
        <f t="shared" si="36"/>
        <v>1175</v>
      </c>
      <c r="I67" s="84">
        <f t="shared" si="36"/>
        <v>12653</v>
      </c>
      <c r="J67" s="84">
        <f>SUM(J6:J65)</f>
        <v>11367</v>
      </c>
      <c r="K67" s="84">
        <f>SUM(K6:K66)</f>
        <v>-1286</v>
      </c>
      <c r="L67" s="85">
        <f t="shared" ref="L67:O67" si="37">SUM(L6:L66)</f>
        <v>5060</v>
      </c>
      <c r="M67" s="85">
        <f t="shared" si="37"/>
        <v>1449</v>
      </c>
      <c r="N67" s="85">
        <f t="shared" si="37"/>
        <v>26</v>
      </c>
      <c r="O67" s="85">
        <f t="shared" si="37"/>
        <v>1554</v>
      </c>
      <c r="P67" s="98">
        <f t="shared" ref="P67:R67" si="38">SUM(P6:P66)</f>
        <v>4981</v>
      </c>
      <c r="Q67" s="84">
        <f t="shared" si="38"/>
        <v>4760</v>
      </c>
      <c r="R67" s="84">
        <f t="shared" si="38"/>
        <v>-221</v>
      </c>
      <c r="S67" s="84"/>
      <c r="T67" s="87">
        <f>I67+P67</f>
        <v>17634</v>
      </c>
    </row>
    <row r="68" spans="1:20" ht="29.25" customHeight="1" x14ac:dyDescent="0.7">
      <c r="D68" s="88" t="s">
        <v>55</v>
      </c>
      <c r="E68" s="89">
        <f>E67+F67+G67-D67</f>
        <v>1150</v>
      </c>
      <c r="H68" s="90"/>
      <c r="I68" s="90"/>
      <c r="N68" s="91" t="s">
        <v>55</v>
      </c>
      <c r="O68" s="92">
        <f>SUM(O6:O66)</f>
        <v>1554</v>
      </c>
    </row>
    <row r="69" spans="1:20" ht="15.75" customHeight="1" x14ac:dyDescent="0.4">
      <c r="A69" s="93" t="s">
        <v>67</v>
      </c>
      <c r="G69" s="126" t="s">
        <v>56</v>
      </c>
      <c r="H69" s="117"/>
      <c r="I69" s="127">
        <f>E68+O68</f>
        <v>2704</v>
      </c>
    </row>
    <row r="70" spans="1:20" ht="15.75" customHeight="1" x14ac:dyDescent="0.4">
      <c r="G70" s="128" t="s">
        <v>57</v>
      </c>
      <c r="H70" s="109"/>
      <c r="I70" s="115"/>
    </row>
    <row r="71" spans="1:20" ht="15.75" customHeight="1" x14ac:dyDescent="0.35">
      <c r="H71" s="90"/>
      <c r="I71" s="90"/>
    </row>
    <row r="72" spans="1:20" ht="15.75" customHeight="1" x14ac:dyDescent="0.35">
      <c r="H72" s="90"/>
      <c r="I72" s="90"/>
    </row>
    <row r="73" spans="1:20" ht="15.75" customHeight="1" x14ac:dyDescent="0.35">
      <c r="H73" s="90"/>
      <c r="I73" s="90"/>
    </row>
    <row r="74" spans="1:20" ht="15.75" customHeight="1" x14ac:dyDescent="0.35">
      <c r="H74" s="90"/>
      <c r="I74" s="90"/>
    </row>
    <row r="75" spans="1:20" ht="15.75" customHeight="1" x14ac:dyDescent="0.35">
      <c r="H75" s="90"/>
      <c r="I75" s="90"/>
    </row>
    <row r="76" spans="1:20" ht="15.75" customHeight="1" x14ac:dyDescent="0.35">
      <c r="H76" s="90"/>
      <c r="I76" s="90"/>
    </row>
    <row r="77" spans="1:20" ht="15.75" customHeight="1" x14ac:dyDescent="0.35">
      <c r="H77" s="90"/>
      <c r="I77" s="90"/>
    </row>
    <row r="78" spans="1:20" ht="15.75" customHeight="1" x14ac:dyDescent="0.35">
      <c r="H78" s="90"/>
      <c r="I78" s="90"/>
    </row>
    <row r="79" spans="1:20" ht="15.75" customHeight="1" x14ac:dyDescent="0.35">
      <c r="H79" s="90"/>
      <c r="I79" s="90"/>
    </row>
    <row r="80" spans="1:20" ht="15.75" customHeight="1" x14ac:dyDescent="0.35">
      <c r="H80" s="90"/>
      <c r="I80" s="90"/>
    </row>
    <row r="81" spans="7:9" ht="15.75" customHeight="1" x14ac:dyDescent="0.35">
      <c r="G81" s="93" t="s">
        <v>63</v>
      </c>
      <c r="H81" s="90"/>
      <c r="I81" s="90"/>
    </row>
    <row r="82" spans="7:9" ht="15.75" customHeight="1" x14ac:dyDescent="0.35">
      <c r="G82" s="93" t="s">
        <v>64</v>
      </c>
      <c r="H82" s="90"/>
      <c r="I82" s="90"/>
    </row>
    <row r="83" spans="7:9" ht="15.75" customHeight="1" x14ac:dyDescent="0.35">
      <c r="H83" s="90"/>
      <c r="I83" s="90"/>
    </row>
    <row r="84" spans="7:9" ht="15.75" customHeight="1" x14ac:dyDescent="0.35">
      <c r="H84" s="90"/>
      <c r="I84" s="90"/>
    </row>
    <row r="85" spans="7:9" ht="15.75" customHeight="1" x14ac:dyDescent="0.35">
      <c r="H85" s="90"/>
      <c r="I85" s="90"/>
    </row>
    <row r="86" spans="7:9" ht="15.75" customHeight="1" x14ac:dyDescent="0.35">
      <c r="H86" s="90"/>
      <c r="I86" s="90"/>
    </row>
    <row r="87" spans="7:9" ht="15.75" customHeight="1" x14ac:dyDescent="0.35">
      <c r="H87" s="90"/>
      <c r="I87" s="90"/>
    </row>
    <row r="88" spans="7:9" ht="15.75" customHeight="1" x14ac:dyDescent="0.35">
      <c r="H88" s="90"/>
      <c r="I88" s="90"/>
    </row>
    <row r="89" spans="7:9" ht="15.75" customHeight="1" x14ac:dyDescent="0.35">
      <c r="H89" s="90"/>
      <c r="I89" s="90"/>
    </row>
    <row r="90" spans="7:9" ht="15.75" customHeight="1" x14ac:dyDescent="0.35">
      <c r="H90" s="90"/>
      <c r="I90" s="90"/>
    </row>
    <row r="91" spans="7:9" ht="15.75" customHeight="1" x14ac:dyDescent="0.35">
      <c r="H91" s="90"/>
      <c r="I91" s="90"/>
    </row>
    <row r="92" spans="7:9" ht="15.75" customHeight="1" x14ac:dyDescent="0.35">
      <c r="H92" s="90"/>
      <c r="I92" s="90"/>
    </row>
    <row r="93" spans="7:9" ht="15.75" customHeight="1" x14ac:dyDescent="0.35">
      <c r="H93" s="90"/>
      <c r="I93" s="90"/>
    </row>
    <row r="94" spans="7:9" ht="15.75" customHeight="1" x14ac:dyDescent="0.35">
      <c r="H94" s="90"/>
      <c r="I94" s="90"/>
    </row>
    <row r="95" spans="7:9" ht="15.75" customHeight="1" x14ac:dyDescent="0.35">
      <c r="H95" s="90"/>
      <c r="I95" s="90"/>
    </row>
    <row r="96" spans="7:9" ht="15.75" customHeight="1" x14ac:dyDescent="0.35">
      <c r="H96" s="90"/>
      <c r="I96" s="90"/>
    </row>
    <row r="97" spans="8:9" ht="15.75" customHeight="1" x14ac:dyDescent="0.35">
      <c r="H97" s="90"/>
      <c r="I97" s="90"/>
    </row>
    <row r="98" spans="8:9" ht="15.75" customHeight="1" x14ac:dyDescent="0.35">
      <c r="H98" s="90"/>
      <c r="I98" s="90"/>
    </row>
    <row r="99" spans="8:9" ht="15.75" customHeight="1" x14ac:dyDescent="0.35">
      <c r="H99" s="90"/>
      <c r="I99" s="90"/>
    </row>
    <row r="100" spans="8:9" ht="15.75" customHeight="1" x14ac:dyDescent="0.35">
      <c r="H100" s="90"/>
      <c r="I100" s="90"/>
    </row>
    <row r="101" spans="8:9" ht="15.75" customHeight="1" x14ac:dyDescent="0.35">
      <c r="H101" s="90"/>
      <c r="I101" s="90"/>
    </row>
    <row r="102" spans="8:9" ht="15.75" customHeight="1" x14ac:dyDescent="0.35">
      <c r="H102" s="90"/>
      <c r="I102" s="90"/>
    </row>
    <row r="103" spans="8:9" ht="15.75" customHeight="1" x14ac:dyDescent="0.35">
      <c r="H103" s="90"/>
      <c r="I103" s="90"/>
    </row>
    <row r="104" spans="8:9" ht="15.75" customHeight="1" x14ac:dyDescent="0.35">
      <c r="H104" s="90"/>
      <c r="I104" s="90"/>
    </row>
    <row r="105" spans="8:9" ht="15.75" customHeight="1" x14ac:dyDescent="0.35">
      <c r="H105" s="90"/>
      <c r="I105" s="90"/>
    </row>
    <row r="106" spans="8:9" ht="15.75" customHeight="1" x14ac:dyDescent="0.35">
      <c r="H106" s="90"/>
      <c r="I106" s="90"/>
    </row>
    <row r="107" spans="8:9" ht="15.75" customHeight="1" x14ac:dyDescent="0.35">
      <c r="H107" s="90"/>
      <c r="I107" s="90"/>
    </row>
    <row r="108" spans="8:9" ht="15.75" customHeight="1" x14ac:dyDescent="0.35">
      <c r="H108" s="90"/>
      <c r="I108" s="90"/>
    </row>
    <row r="109" spans="8:9" ht="15.75" customHeight="1" x14ac:dyDescent="0.35">
      <c r="H109" s="90"/>
      <c r="I109" s="90"/>
    </row>
    <row r="110" spans="8:9" ht="15.75" customHeight="1" x14ac:dyDescent="0.35">
      <c r="H110" s="90"/>
      <c r="I110" s="90"/>
    </row>
    <row r="111" spans="8:9" ht="15.75" customHeight="1" x14ac:dyDescent="0.35">
      <c r="H111" s="90"/>
      <c r="I111" s="90"/>
    </row>
    <row r="112" spans="8:9" ht="15.75" customHeight="1" x14ac:dyDescent="0.35">
      <c r="H112" s="90"/>
      <c r="I112" s="90"/>
    </row>
    <row r="113" spans="8:9" ht="15.75" customHeight="1" x14ac:dyDescent="0.35">
      <c r="H113" s="90"/>
      <c r="I113" s="90"/>
    </row>
    <row r="114" spans="8:9" ht="15.75" customHeight="1" x14ac:dyDescent="0.35">
      <c r="H114" s="90"/>
      <c r="I114" s="90"/>
    </row>
    <row r="115" spans="8:9" ht="15.75" customHeight="1" x14ac:dyDescent="0.35">
      <c r="H115" s="90"/>
      <c r="I115" s="90"/>
    </row>
    <row r="116" spans="8:9" ht="15.75" customHeight="1" x14ac:dyDescent="0.35">
      <c r="H116" s="90"/>
      <c r="I116" s="90"/>
    </row>
    <row r="117" spans="8:9" ht="15.75" customHeight="1" x14ac:dyDescent="0.35">
      <c r="H117" s="90"/>
      <c r="I117" s="90"/>
    </row>
    <row r="118" spans="8:9" ht="15.75" customHeight="1" x14ac:dyDescent="0.35">
      <c r="H118" s="90"/>
      <c r="I118" s="90"/>
    </row>
    <row r="119" spans="8:9" ht="15.75" customHeight="1" x14ac:dyDescent="0.35">
      <c r="H119" s="90"/>
      <c r="I119" s="90"/>
    </row>
    <row r="120" spans="8:9" ht="15.75" customHeight="1" x14ac:dyDescent="0.35">
      <c r="H120" s="90"/>
      <c r="I120" s="90"/>
    </row>
    <row r="121" spans="8:9" ht="15.75" customHeight="1" x14ac:dyDescent="0.35">
      <c r="H121" s="90"/>
      <c r="I121" s="90"/>
    </row>
    <row r="122" spans="8:9" ht="15.75" customHeight="1" x14ac:dyDescent="0.35">
      <c r="H122" s="90"/>
      <c r="I122" s="90"/>
    </row>
    <row r="123" spans="8:9" ht="15.75" customHeight="1" x14ac:dyDescent="0.35">
      <c r="H123" s="90"/>
      <c r="I123" s="90"/>
    </row>
    <row r="124" spans="8:9" ht="15.75" customHeight="1" x14ac:dyDescent="0.35">
      <c r="H124" s="90"/>
      <c r="I124" s="90"/>
    </row>
    <row r="125" spans="8:9" ht="15.75" customHeight="1" x14ac:dyDescent="0.35">
      <c r="H125" s="90"/>
      <c r="I125" s="90"/>
    </row>
    <row r="126" spans="8:9" ht="15.75" customHeight="1" x14ac:dyDescent="0.35">
      <c r="H126" s="90"/>
      <c r="I126" s="90"/>
    </row>
    <row r="127" spans="8:9" ht="15.75" customHeight="1" x14ac:dyDescent="0.35">
      <c r="H127" s="90"/>
      <c r="I127" s="90"/>
    </row>
    <row r="128" spans="8:9" ht="15.75" customHeight="1" x14ac:dyDescent="0.35">
      <c r="H128" s="90"/>
      <c r="I128" s="90"/>
    </row>
    <row r="129" spans="8:9" ht="15.75" customHeight="1" x14ac:dyDescent="0.35">
      <c r="H129" s="90"/>
      <c r="I129" s="90"/>
    </row>
    <row r="130" spans="8:9" ht="15.75" customHeight="1" x14ac:dyDescent="0.35">
      <c r="H130" s="90"/>
      <c r="I130" s="90"/>
    </row>
    <row r="131" spans="8:9" ht="15.75" customHeight="1" x14ac:dyDescent="0.35">
      <c r="H131" s="90"/>
      <c r="I131" s="90"/>
    </row>
    <row r="132" spans="8:9" ht="15.75" customHeight="1" x14ac:dyDescent="0.35">
      <c r="H132" s="90"/>
      <c r="I132" s="90"/>
    </row>
    <row r="133" spans="8:9" ht="15.75" customHeight="1" x14ac:dyDescent="0.35">
      <c r="H133" s="90"/>
      <c r="I133" s="90"/>
    </row>
    <row r="134" spans="8:9" ht="15.75" customHeight="1" x14ac:dyDescent="0.35">
      <c r="H134" s="90"/>
      <c r="I134" s="90"/>
    </row>
    <row r="135" spans="8:9" ht="15.75" customHeight="1" x14ac:dyDescent="0.35">
      <c r="H135" s="90"/>
      <c r="I135" s="90"/>
    </row>
    <row r="136" spans="8:9" ht="15.75" customHeight="1" x14ac:dyDescent="0.35">
      <c r="H136" s="90"/>
      <c r="I136" s="90"/>
    </row>
    <row r="137" spans="8:9" ht="15.75" customHeight="1" x14ac:dyDescent="0.35">
      <c r="H137" s="90"/>
      <c r="I137" s="90"/>
    </row>
    <row r="138" spans="8:9" ht="15.75" customHeight="1" x14ac:dyDescent="0.35">
      <c r="H138" s="90"/>
      <c r="I138" s="90"/>
    </row>
    <row r="139" spans="8:9" ht="15.75" customHeight="1" x14ac:dyDescent="0.35">
      <c r="H139" s="90"/>
      <c r="I139" s="90"/>
    </row>
    <row r="140" spans="8:9" ht="15.75" customHeight="1" x14ac:dyDescent="0.35">
      <c r="H140" s="90"/>
      <c r="I140" s="90"/>
    </row>
    <row r="141" spans="8:9" ht="15.75" customHeight="1" x14ac:dyDescent="0.35">
      <c r="H141" s="90"/>
      <c r="I141" s="90"/>
    </row>
    <row r="142" spans="8:9" ht="15.75" customHeight="1" x14ac:dyDescent="0.35">
      <c r="H142" s="90"/>
      <c r="I142" s="90"/>
    </row>
    <row r="143" spans="8:9" ht="15.75" customHeight="1" x14ac:dyDescent="0.35">
      <c r="H143" s="90"/>
      <c r="I143" s="90"/>
    </row>
    <row r="144" spans="8:9" ht="15.75" customHeight="1" x14ac:dyDescent="0.35">
      <c r="H144" s="90"/>
      <c r="I144" s="90"/>
    </row>
    <row r="145" spans="8:9" ht="15.75" customHeight="1" x14ac:dyDescent="0.35">
      <c r="H145" s="90"/>
      <c r="I145" s="90"/>
    </row>
    <row r="146" spans="8:9" ht="15.75" customHeight="1" x14ac:dyDescent="0.35">
      <c r="H146" s="90"/>
      <c r="I146" s="90"/>
    </row>
    <row r="147" spans="8:9" ht="15.75" customHeight="1" x14ac:dyDescent="0.35">
      <c r="H147" s="90"/>
      <c r="I147" s="90"/>
    </row>
    <row r="148" spans="8:9" ht="15.75" customHeight="1" x14ac:dyDescent="0.35">
      <c r="H148" s="90"/>
      <c r="I148" s="90"/>
    </row>
    <row r="149" spans="8:9" ht="15.75" customHeight="1" x14ac:dyDescent="0.35">
      <c r="H149" s="90"/>
      <c r="I149" s="90"/>
    </row>
    <row r="150" spans="8:9" ht="15.75" customHeight="1" x14ac:dyDescent="0.35">
      <c r="H150" s="90"/>
      <c r="I150" s="90"/>
    </row>
    <row r="151" spans="8:9" ht="15.75" customHeight="1" x14ac:dyDescent="0.35">
      <c r="H151" s="90"/>
      <c r="I151" s="90"/>
    </row>
    <row r="152" spans="8:9" ht="15.75" customHeight="1" x14ac:dyDescent="0.35">
      <c r="H152" s="90"/>
      <c r="I152" s="90"/>
    </row>
    <row r="153" spans="8:9" ht="15.75" customHeight="1" x14ac:dyDescent="0.35">
      <c r="H153" s="90"/>
      <c r="I153" s="90"/>
    </row>
    <row r="154" spans="8:9" ht="15.75" customHeight="1" x14ac:dyDescent="0.35">
      <c r="H154" s="90"/>
      <c r="I154" s="90"/>
    </row>
    <row r="155" spans="8:9" ht="15.75" customHeight="1" x14ac:dyDescent="0.35">
      <c r="H155" s="90"/>
      <c r="I155" s="90"/>
    </row>
    <row r="156" spans="8:9" ht="15.75" customHeight="1" x14ac:dyDescent="0.35">
      <c r="H156" s="90"/>
      <c r="I156" s="90"/>
    </row>
    <row r="157" spans="8:9" ht="15.75" customHeight="1" x14ac:dyDescent="0.35">
      <c r="H157" s="90"/>
      <c r="I157" s="90"/>
    </row>
    <row r="158" spans="8:9" ht="15.75" customHeight="1" x14ac:dyDescent="0.35">
      <c r="H158" s="90"/>
      <c r="I158" s="90"/>
    </row>
    <row r="159" spans="8:9" ht="15.75" customHeight="1" x14ac:dyDescent="0.35">
      <c r="H159" s="90"/>
      <c r="I159" s="90"/>
    </row>
    <row r="160" spans="8:9" ht="15.75" customHeight="1" x14ac:dyDescent="0.35">
      <c r="H160" s="90"/>
      <c r="I160" s="90"/>
    </row>
    <row r="161" spans="8:9" ht="15.75" customHeight="1" x14ac:dyDescent="0.35">
      <c r="H161" s="90"/>
      <c r="I161" s="90"/>
    </row>
    <row r="162" spans="8:9" ht="15.75" customHeight="1" x14ac:dyDescent="0.35">
      <c r="H162" s="90"/>
      <c r="I162" s="90"/>
    </row>
    <row r="163" spans="8:9" ht="15.75" customHeight="1" x14ac:dyDescent="0.35">
      <c r="H163" s="90"/>
      <c r="I163" s="90"/>
    </row>
    <row r="164" spans="8:9" ht="15.75" customHeight="1" x14ac:dyDescent="0.35">
      <c r="H164" s="90"/>
      <c r="I164" s="90"/>
    </row>
    <row r="165" spans="8:9" ht="15.75" customHeight="1" x14ac:dyDescent="0.35">
      <c r="H165" s="90"/>
      <c r="I165" s="90"/>
    </row>
    <row r="166" spans="8:9" ht="15.75" customHeight="1" x14ac:dyDescent="0.35">
      <c r="H166" s="90"/>
      <c r="I166" s="90"/>
    </row>
    <row r="167" spans="8:9" ht="15.75" customHeight="1" x14ac:dyDescent="0.35">
      <c r="H167" s="90"/>
      <c r="I167" s="90"/>
    </row>
    <row r="168" spans="8:9" ht="15.75" customHeight="1" x14ac:dyDescent="0.35">
      <c r="H168" s="90"/>
      <c r="I168" s="90"/>
    </row>
    <row r="169" spans="8:9" ht="15.75" customHeight="1" x14ac:dyDescent="0.35">
      <c r="H169" s="90"/>
      <c r="I169" s="90"/>
    </row>
    <row r="170" spans="8:9" ht="15.75" customHeight="1" x14ac:dyDescent="0.35">
      <c r="H170" s="90"/>
      <c r="I170" s="90"/>
    </row>
    <row r="171" spans="8:9" ht="15.75" customHeight="1" x14ac:dyDescent="0.35">
      <c r="H171" s="90"/>
      <c r="I171" s="90"/>
    </row>
    <row r="172" spans="8:9" ht="15.75" customHeight="1" x14ac:dyDescent="0.35">
      <c r="H172" s="90"/>
      <c r="I172" s="90"/>
    </row>
    <row r="173" spans="8:9" ht="15.75" customHeight="1" x14ac:dyDescent="0.35">
      <c r="H173" s="90"/>
      <c r="I173" s="90"/>
    </row>
    <row r="174" spans="8:9" ht="15.75" customHeight="1" x14ac:dyDescent="0.35">
      <c r="H174" s="90"/>
      <c r="I174" s="90"/>
    </row>
    <row r="175" spans="8:9" ht="15.75" customHeight="1" x14ac:dyDescent="0.35">
      <c r="H175" s="90"/>
      <c r="I175" s="90"/>
    </row>
    <row r="176" spans="8:9" ht="15.75" customHeight="1" x14ac:dyDescent="0.35">
      <c r="H176" s="90"/>
      <c r="I176" s="90"/>
    </row>
    <row r="177" spans="8:9" ht="15.75" customHeight="1" x14ac:dyDescent="0.35">
      <c r="H177" s="90"/>
      <c r="I177" s="90"/>
    </row>
    <row r="178" spans="8:9" ht="15.75" customHeight="1" x14ac:dyDescent="0.35">
      <c r="H178" s="90"/>
      <c r="I178" s="90"/>
    </row>
    <row r="179" spans="8:9" ht="15.75" customHeight="1" x14ac:dyDescent="0.35">
      <c r="H179" s="90"/>
      <c r="I179" s="90"/>
    </row>
    <row r="180" spans="8:9" ht="15.75" customHeight="1" x14ac:dyDescent="0.35">
      <c r="H180" s="90"/>
      <c r="I180" s="90"/>
    </row>
    <row r="181" spans="8:9" ht="15.75" customHeight="1" x14ac:dyDescent="0.35">
      <c r="H181" s="90"/>
      <c r="I181" s="90"/>
    </row>
    <row r="182" spans="8:9" ht="15.75" customHeight="1" x14ac:dyDescent="0.35">
      <c r="H182" s="90"/>
      <c r="I182" s="90"/>
    </row>
    <row r="183" spans="8:9" ht="15.75" customHeight="1" x14ac:dyDescent="0.35">
      <c r="H183" s="90"/>
      <c r="I183" s="90"/>
    </row>
    <row r="184" spans="8:9" ht="15.75" customHeight="1" x14ac:dyDescent="0.35">
      <c r="H184" s="90"/>
      <c r="I184" s="90"/>
    </row>
    <row r="185" spans="8:9" ht="15.75" customHeight="1" x14ac:dyDescent="0.35">
      <c r="H185" s="90"/>
      <c r="I185" s="90"/>
    </row>
    <row r="186" spans="8:9" ht="15.75" customHeight="1" x14ac:dyDescent="0.35">
      <c r="H186" s="90"/>
      <c r="I186" s="90"/>
    </row>
    <row r="187" spans="8:9" ht="15.75" customHeight="1" x14ac:dyDescent="0.35">
      <c r="H187" s="90"/>
      <c r="I187" s="90"/>
    </row>
    <row r="188" spans="8:9" ht="15.75" customHeight="1" x14ac:dyDescent="0.35">
      <c r="H188" s="90"/>
      <c r="I188" s="90"/>
    </row>
    <row r="189" spans="8:9" ht="15.75" customHeight="1" x14ac:dyDescent="0.35">
      <c r="H189" s="90"/>
      <c r="I189" s="90"/>
    </row>
    <row r="190" spans="8:9" ht="15.75" customHeight="1" x14ac:dyDescent="0.35">
      <c r="H190" s="90"/>
      <c r="I190" s="90"/>
    </row>
    <row r="191" spans="8:9" ht="15.75" customHeight="1" x14ac:dyDescent="0.35">
      <c r="H191" s="90"/>
      <c r="I191" s="90"/>
    </row>
    <row r="192" spans="8:9" ht="15.75" customHeight="1" x14ac:dyDescent="0.35">
      <c r="H192" s="90"/>
      <c r="I192" s="90"/>
    </row>
    <row r="193" spans="8:9" ht="15.75" customHeight="1" x14ac:dyDescent="0.35">
      <c r="H193" s="90"/>
      <c r="I193" s="90"/>
    </row>
    <row r="194" spans="8:9" ht="15.75" customHeight="1" x14ac:dyDescent="0.35">
      <c r="H194" s="90"/>
      <c r="I194" s="90"/>
    </row>
    <row r="195" spans="8:9" ht="15.75" customHeight="1" x14ac:dyDescent="0.35">
      <c r="H195" s="90"/>
      <c r="I195" s="90"/>
    </row>
    <row r="196" spans="8:9" ht="15.75" customHeight="1" x14ac:dyDescent="0.35">
      <c r="H196" s="90"/>
      <c r="I196" s="90"/>
    </row>
    <row r="197" spans="8:9" ht="15.75" customHeight="1" x14ac:dyDescent="0.35">
      <c r="H197" s="90"/>
      <c r="I197" s="90"/>
    </row>
    <row r="198" spans="8:9" ht="15.75" customHeight="1" x14ac:dyDescent="0.35">
      <c r="H198" s="90"/>
      <c r="I198" s="90"/>
    </row>
    <row r="199" spans="8:9" ht="15.75" customHeight="1" x14ac:dyDescent="0.35">
      <c r="H199" s="90"/>
      <c r="I199" s="90"/>
    </row>
    <row r="200" spans="8:9" ht="15.75" customHeight="1" x14ac:dyDescent="0.35">
      <c r="H200" s="90"/>
      <c r="I200" s="90"/>
    </row>
    <row r="201" spans="8:9" ht="15.75" customHeight="1" x14ac:dyDescent="0.35">
      <c r="H201" s="90"/>
      <c r="I201" s="90"/>
    </row>
    <row r="202" spans="8:9" ht="15.75" customHeight="1" x14ac:dyDescent="0.35">
      <c r="H202" s="90"/>
      <c r="I202" s="90"/>
    </row>
    <row r="203" spans="8:9" ht="15.75" customHeight="1" x14ac:dyDescent="0.35">
      <c r="H203" s="90"/>
      <c r="I203" s="90"/>
    </row>
    <row r="204" spans="8:9" ht="15.75" customHeight="1" x14ac:dyDescent="0.35">
      <c r="H204" s="90"/>
      <c r="I204" s="90"/>
    </row>
    <row r="205" spans="8:9" ht="15.75" customHeight="1" x14ac:dyDescent="0.35">
      <c r="H205" s="90"/>
      <c r="I205" s="90"/>
    </row>
    <row r="206" spans="8:9" ht="15.75" customHeight="1" x14ac:dyDescent="0.35">
      <c r="H206" s="90"/>
      <c r="I206" s="90"/>
    </row>
    <row r="207" spans="8:9" ht="15.75" customHeight="1" x14ac:dyDescent="0.35">
      <c r="H207" s="90"/>
      <c r="I207" s="90"/>
    </row>
    <row r="208" spans="8:9" ht="15.75" customHeight="1" x14ac:dyDescent="0.35">
      <c r="H208" s="90"/>
      <c r="I208" s="90"/>
    </row>
    <row r="209" spans="8:9" ht="15.75" customHeight="1" x14ac:dyDescent="0.35">
      <c r="H209" s="90"/>
      <c r="I209" s="90"/>
    </row>
    <row r="210" spans="8:9" ht="15.75" customHeight="1" x14ac:dyDescent="0.35">
      <c r="H210" s="90"/>
      <c r="I210" s="90"/>
    </row>
    <row r="211" spans="8:9" ht="15.75" customHeight="1" x14ac:dyDescent="0.35">
      <c r="H211" s="90"/>
      <c r="I211" s="90"/>
    </row>
    <row r="212" spans="8:9" ht="15.75" customHeight="1" x14ac:dyDescent="0.35">
      <c r="H212" s="90"/>
      <c r="I212" s="90"/>
    </row>
    <row r="213" spans="8:9" ht="15.75" customHeight="1" x14ac:dyDescent="0.35">
      <c r="H213" s="90"/>
      <c r="I213" s="90"/>
    </row>
    <row r="214" spans="8:9" ht="15.75" customHeight="1" x14ac:dyDescent="0.35">
      <c r="H214" s="90"/>
      <c r="I214" s="90"/>
    </row>
    <row r="215" spans="8:9" ht="15.75" customHeight="1" x14ac:dyDescent="0.35">
      <c r="H215" s="90"/>
      <c r="I215" s="90"/>
    </row>
    <row r="216" spans="8:9" ht="15.75" customHeight="1" x14ac:dyDescent="0.35">
      <c r="H216" s="90"/>
      <c r="I216" s="90"/>
    </row>
    <row r="217" spans="8:9" ht="15.75" customHeight="1" x14ac:dyDescent="0.35">
      <c r="H217" s="90"/>
      <c r="I217" s="90"/>
    </row>
    <row r="218" spans="8:9" ht="15.75" customHeight="1" x14ac:dyDescent="0.35">
      <c r="H218" s="90"/>
      <c r="I218" s="90"/>
    </row>
    <row r="219" spans="8:9" ht="15.75" customHeight="1" x14ac:dyDescent="0.35">
      <c r="H219" s="90"/>
      <c r="I219" s="90"/>
    </row>
    <row r="220" spans="8:9" ht="15.75" customHeight="1" x14ac:dyDescent="0.35">
      <c r="H220" s="90"/>
      <c r="I220" s="90"/>
    </row>
    <row r="221" spans="8:9" ht="15.75" customHeight="1" x14ac:dyDescent="0.35">
      <c r="H221" s="90"/>
      <c r="I221" s="90"/>
    </row>
    <row r="222" spans="8:9" ht="15.75" customHeight="1" x14ac:dyDescent="0.35">
      <c r="H222" s="90"/>
      <c r="I222" s="90"/>
    </row>
    <row r="223" spans="8:9" ht="15.75" customHeight="1" x14ac:dyDescent="0.35">
      <c r="H223" s="90"/>
      <c r="I223" s="90"/>
    </row>
    <row r="224" spans="8:9" ht="15.75" customHeight="1" x14ac:dyDescent="0.35">
      <c r="H224" s="90"/>
      <c r="I224" s="90"/>
    </row>
    <row r="225" spans="8:9" ht="15.75" customHeight="1" x14ac:dyDescent="0.35">
      <c r="H225" s="90"/>
      <c r="I225" s="90"/>
    </row>
    <row r="226" spans="8:9" ht="15.75" customHeight="1" x14ac:dyDescent="0.35">
      <c r="H226" s="90"/>
      <c r="I226" s="90"/>
    </row>
    <row r="227" spans="8:9" ht="15.75" customHeight="1" x14ac:dyDescent="0.35">
      <c r="H227" s="90"/>
      <c r="I227" s="90"/>
    </row>
    <row r="228" spans="8:9" ht="15.75" customHeight="1" x14ac:dyDescent="0.35">
      <c r="H228" s="90"/>
      <c r="I228" s="90"/>
    </row>
    <row r="229" spans="8:9" ht="15.75" customHeight="1" x14ac:dyDescent="0.35">
      <c r="H229" s="90"/>
      <c r="I229" s="90"/>
    </row>
    <row r="230" spans="8:9" ht="15.75" customHeight="1" x14ac:dyDescent="0.35">
      <c r="H230" s="90"/>
      <c r="I230" s="90"/>
    </row>
    <row r="231" spans="8:9" ht="15.75" customHeight="1" x14ac:dyDescent="0.35">
      <c r="H231" s="90"/>
      <c r="I231" s="90"/>
    </row>
    <row r="232" spans="8:9" ht="15.75" customHeight="1" x14ac:dyDescent="0.35">
      <c r="H232" s="90"/>
      <c r="I232" s="90"/>
    </row>
    <row r="233" spans="8:9" ht="15.75" customHeight="1" x14ac:dyDescent="0.35">
      <c r="H233" s="90"/>
      <c r="I233" s="90"/>
    </row>
    <row r="234" spans="8:9" ht="15.75" customHeight="1" x14ac:dyDescent="0.35">
      <c r="H234" s="90"/>
      <c r="I234" s="90"/>
    </row>
    <row r="235" spans="8:9" ht="15.75" customHeight="1" x14ac:dyDescent="0.35">
      <c r="H235" s="90"/>
      <c r="I235" s="90"/>
    </row>
    <row r="236" spans="8:9" ht="15.75" customHeight="1" x14ac:dyDescent="0.35">
      <c r="H236" s="90"/>
      <c r="I236" s="90"/>
    </row>
    <row r="237" spans="8:9" ht="15.75" customHeight="1" x14ac:dyDescent="0.35">
      <c r="H237" s="90"/>
      <c r="I237" s="90"/>
    </row>
    <row r="238" spans="8:9" ht="15.75" customHeight="1" x14ac:dyDescent="0.35">
      <c r="H238" s="90"/>
      <c r="I238" s="90"/>
    </row>
    <row r="239" spans="8:9" ht="15.75" customHeight="1" x14ac:dyDescent="0.35">
      <c r="H239" s="90"/>
      <c r="I239" s="90"/>
    </row>
    <row r="240" spans="8:9" ht="15.75" customHeight="1" x14ac:dyDescent="0.35">
      <c r="H240" s="90"/>
      <c r="I240" s="90"/>
    </row>
    <row r="241" spans="8:9" ht="15.75" customHeight="1" x14ac:dyDescent="0.35">
      <c r="H241" s="90"/>
      <c r="I241" s="90"/>
    </row>
    <row r="242" spans="8:9" ht="15.75" customHeight="1" x14ac:dyDescent="0.35">
      <c r="H242" s="90"/>
      <c r="I242" s="90"/>
    </row>
    <row r="243" spans="8:9" ht="15.75" customHeight="1" x14ac:dyDescent="0.35">
      <c r="H243" s="90"/>
      <c r="I243" s="90"/>
    </row>
    <row r="244" spans="8:9" ht="15.75" customHeight="1" x14ac:dyDescent="0.35">
      <c r="H244" s="90"/>
      <c r="I244" s="90"/>
    </row>
    <row r="245" spans="8:9" ht="15.75" customHeight="1" x14ac:dyDescent="0.35">
      <c r="H245" s="90"/>
      <c r="I245" s="90"/>
    </row>
    <row r="246" spans="8:9" ht="15.75" customHeight="1" x14ac:dyDescent="0.35">
      <c r="H246" s="90"/>
      <c r="I246" s="90"/>
    </row>
    <row r="247" spans="8:9" ht="15.75" customHeight="1" x14ac:dyDescent="0.35">
      <c r="H247" s="90"/>
      <c r="I247" s="90"/>
    </row>
    <row r="248" spans="8:9" ht="15.75" customHeight="1" x14ac:dyDescent="0.35">
      <c r="H248" s="90"/>
      <c r="I248" s="90"/>
    </row>
    <row r="249" spans="8:9" ht="15.75" customHeight="1" x14ac:dyDescent="0.35">
      <c r="H249" s="90"/>
      <c r="I249" s="90"/>
    </row>
    <row r="250" spans="8:9" ht="15.75" customHeight="1" x14ac:dyDescent="0.35">
      <c r="H250" s="90"/>
      <c r="I250" s="90"/>
    </row>
    <row r="251" spans="8:9" ht="15.75" customHeight="1" x14ac:dyDescent="0.35">
      <c r="H251" s="90"/>
      <c r="I251" s="90"/>
    </row>
    <row r="252" spans="8:9" ht="15.75" customHeight="1" x14ac:dyDescent="0.35">
      <c r="H252" s="90"/>
      <c r="I252" s="90"/>
    </row>
    <row r="253" spans="8:9" ht="15.75" customHeight="1" x14ac:dyDescent="0.35">
      <c r="H253" s="90"/>
      <c r="I253" s="90"/>
    </row>
    <row r="254" spans="8:9" ht="15.75" customHeight="1" x14ac:dyDescent="0.35">
      <c r="H254" s="90"/>
      <c r="I254" s="90"/>
    </row>
    <row r="255" spans="8:9" ht="15.75" customHeight="1" x14ac:dyDescent="0.35">
      <c r="H255" s="90"/>
      <c r="I255" s="90"/>
    </row>
    <row r="256" spans="8:9" ht="15.75" customHeight="1" x14ac:dyDescent="0.35">
      <c r="H256" s="90"/>
      <c r="I256" s="90"/>
    </row>
    <row r="257" spans="8:9" ht="15.75" customHeight="1" x14ac:dyDescent="0.35">
      <c r="H257" s="90"/>
      <c r="I257" s="90"/>
    </row>
    <row r="258" spans="8:9" ht="15.75" customHeight="1" x14ac:dyDescent="0.35">
      <c r="H258" s="90"/>
      <c r="I258" s="90"/>
    </row>
    <row r="259" spans="8:9" ht="15.75" customHeight="1" x14ac:dyDescent="0.35">
      <c r="H259" s="90"/>
      <c r="I259" s="90"/>
    </row>
    <row r="260" spans="8:9" ht="15.75" customHeight="1" x14ac:dyDescent="0.35">
      <c r="H260" s="90"/>
      <c r="I260" s="90"/>
    </row>
    <row r="261" spans="8:9" ht="15.75" customHeight="1" x14ac:dyDescent="0.35">
      <c r="H261" s="90"/>
      <c r="I261" s="90"/>
    </row>
    <row r="262" spans="8:9" ht="15.75" customHeight="1" x14ac:dyDescent="0.35">
      <c r="H262" s="90"/>
      <c r="I262" s="90"/>
    </row>
    <row r="263" spans="8:9" ht="15.75" customHeight="1" x14ac:dyDescent="0.35">
      <c r="H263" s="90"/>
      <c r="I263" s="90"/>
    </row>
    <row r="264" spans="8:9" ht="15.75" customHeight="1" x14ac:dyDescent="0.35">
      <c r="H264" s="90"/>
      <c r="I264" s="90"/>
    </row>
    <row r="265" spans="8:9" ht="15.75" customHeight="1" x14ac:dyDescent="0.35">
      <c r="H265" s="90"/>
      <c r="I265" s="90"/>
    </row>
    <row r="266" spans="8:9" ht="15.75" customHeight="1" x14ac:dyDescent="0.35">
      <c r="H266" s="90"/>
      <c r="I266" s="90"/>
    </row>
    <row r="267" spans="8:9" ht="15.75" customHeight="1" x14ac:dyDescent="0.35">
      <c r="H267" s="90"/>
      <c r="I267" s="90"/>
    </row>
    <row r="268" spans="8:9" ht="15.75" customHeight="1" x14ac:dyDescent="0.35">
      <c r="H268" s="90"/>
      <c r="I268" s="90"/>
    </row>
    <row r="269" spans="8:9" ht="15.75" customHeight="1" x14ac:dyDescent="0.35">
      <c r="H269" s="90"/>
      <c r="I269" s="90"/>
    </row>
    <row r="270" spans="8:9" ht="15.75" customHeight="1" x14ac:dyDescent="0.35">
      <c r="H270" s="90"/>
      <c r="I270" s="90"/>
    </row>
    <row r="271" spans="8:9" ht="15.75" customHeight="1" x14ac:dyDescent="0.35">
      <c r="H271" s="90"/>
      <c r="I271" s="90"/>
    </row>
    <row r="272" spans="8:9" ht="15.75" customHeight="1" x14ac:dyDescent="0.35">
      <c r="H272" s="90"/>
      <c r="I272" s="90"/>
    </row>
    <row r="273" spans="8:9" ht="15.75" customHeight="1" x14ac:dyDescent="0.35">
      <c r="H273" s="90"/>
      <c r="I273" s="90"/>
    </row>
    <row r="274" spans="8:9" ht="15.75" customHeight="1" x14ac:dyDescent="0.35">
      <c r="H274" s="90"/>
      <c r="I274" s="90"/>
    </row>
    <row r="275" spans="8:9" ht="15.75" customHeight="1" x14ac:dyDescent="0.35">
      <c r="H275" s="90"/>
      <c r="I275" s="90"/>
    </row>
    <row r="276" spans="8:9" ht="15.75" customHeight="1" x14ac:dyDescent="0.35">
      <c r="H276" s="90"/>
      <c r="I276" s="90"/>
    </row>
    <row r="277" spans="8:9" ht="15.75" customHeight="1" x14ac:dyDescent="0.35">
      <c r="H277" s="90"/>
      <c r="I277" s="90"/>
    </row>
    <row r="278" spans="8:9" ht="15.75" customHeight="1" x14ac:dyDescent="0.35">
      <c r="H278" s="90"/>
      <c r="I278" s="90"/>
    </row>
    <row r="279" spans="8:9" ht="15.75" customHeight="1" x14ac:dyDescent="0.35">
      <c r="H279" s="90"/>
      <c r="I279" s="90"/>
    </row>
    <row r="280" spans="8:9" ht="15.75" customHeight="1" x14ac:dyDescent="0.35">
      <c r="H280" s="90"/>
      <c r="I280" s="90"/>
    </row>
    <row r="281" spans="8:9" ht="15.75" customHeight="1" x14ac:dyDescent="0.35">
      <c r="H281" s="90"/>
      <c r="I281" s="90"/>
    </row>
    <row r="282" spans="8:9" ht="15.75" customHeight="1" x14ac:dyDescent="0.35">
      <c r="H282" s="90"/>
      <c r="I282" s="90"/>
    </row>
    <row r="283" spans="8:9" ht="15.75" customHeight="1" x14ac:dyDescent="0.35">
      <c r="H283" s="90"/>
      <c r="I283" s="90"/>
    </row>
    <row r="284" spans="8:9" ht="15.75" customHeight="1" x14ac:dyDescent="0.35">
      <c r="H284" s="90"/>
      <c r="I284" s="90"/>
    </row>
    <row r="285" spans="8:9" ht="15.75" customHeight="1" x14ac:dyDescent="0.35">
      <c r="H285" s="90"/>
      <c r="I285" s="90"/>
    </row>
    <row r="286" spans="8:9" ht="15.75" customHeight="1" x14ac:dyDescent="0.35">
      <c r="H286" s="90"/>
      <c r="I286" s="90"/>
    </row>
    <row r="287" spans="8:9" ht="15.75" customHeight="1" x14ac:dyDescent="0.35">
      <c r="H287" s="90"/>
      <c r="I287" s="90"/>
    </row>
    <row r="288" spans="8:9" ht="15.75" customHeight="1" x14ac:dyDescent="0.35">
      <c r="H288" s="90"/>
      <c r="I288" s="90"/>
    </row>
    <row r="289" spans="8:9" ht="15.75" customHeight="1" x14ac:dyDescent="0.35">
      <c r="H289" s="90"/>
      <c r="I289" s="90"/>
    </row>
    <row r="290" spans="8:9" ht="15.75" customHeight="1" x14ac:dyDescent="0.35">
      <c r="H290" s="90"/>
      <c r="I290" s="90"/>
    </row>
    <row r="291" spans="8:9" ht="15.75" customHeight="1" x14ac:dyDescent="0.35">
      <c r="H291" s="90"/>
      <c r="I291" s="90"/>
    </row>
    <row r="292" spans="8:9" ht="15.75" customHeight="1" x14ac:dyDescent="0.35">
      <c r="H292" s="90"/>
      <c r="I292" s="90"/>
    </row>
    <row r="293" spans="8:9" ht="15.75" customHeight="1" x14ac:dyDescent="0.35">
      <c r="H293" s="90"/>
      <c r="I293" s="90"/>
    </row>
    <row r="294" spans="8:9" ht="15.75" customHeight="1" x14ac:dyDescent="0.35">
      <c r="H294" s="90"/>
      <c r="I294" s="90"/>
    </row>
    <row r="295" spans="8:9" ht="15.75" customHeight="1" x14ac:dyDescent="0.35">
      <c r="H295" s="90"/>
      <c r="I295" s="90"/>
    </row>
    <row r="296" spans="8:9" ht="15.75" customHeight="1" x14ac:dyDescent="0.35">
      <c r="H296" s="90"/>
      <c r="I296" s="90"/>
    </row>
    <row r="297" spans="8:9" ht="15.75" customHeight="1" x14ac:dyDescent="0.35">
      <c r="H297" s="90"/>
      <c r="I297" s="90"/>
    </row>
    <row r="298" spans="8:9" ht="15.75" customHeight="1" x14ac:dyDescent="0.35">
      <c r="H298" s="90"/>
      <c r="I298" s="90"/>
    </row>
    <row r="299" spans="8:9" ht="15.75" customHeight="1" x14ac:dyDescent="0.35">
      <c r="H299" s="90"/>
      <c r="I299" s="90"/>
    </row>
    <row r="300" spans="8:9" ht="15.75" customHeight="1" x14ac:dyDescent="0.35">
      <c r="H300" s="90"/>
      <c r="I300" s="90"/>
    </row>
    <row r="301" spans="8:9" ht="15.75" customHeight="1" x14ac:dyDescent="0.35">
      <c r="H301" s="90"/>
      <c r="I301" s="90"/>
    </row>
    <row r="302" spans="8:9" ht="15.75" customHeight="1" x14ac:dyDescent="0.35">
      <c r="H302" s="90"/>
      <c r="I302" s="90"/>
    </row>
    <row r="303" spans="8:9" ht="15.75" customHeight="1" x14ac:dyDescent="0.35">
      <c r="H303" s="90"/>
      <c r="I303" s="90"/>
    </row>
    <row r="304" spans="8:9" ht="15.75" customHeight="1" x14ac:dyDescent="0.35">
      <c r="H304" s="90"/>
      <c r="I304" s="90"/>
    </row>
    <row r="305" spans="8:9" ht="15.75" customHeight="1" x14ac:dyDescent="0.35">
      <c r="H305" s="90"/>
      <c r="I305" s="90"/>
    </row>
    <row r="306" spans="8:9" ht="15.75" customHeight="1" x14ac:dyDescent="0.35">
      <c r="H306" s="90"/>
      <c r="I306" s="90"/>
    </row>
    <row r="307" spans="8:9" ht="15.75" customHeight="1" x14ac:dyDescent="0.35">
      <c r="H307" s="90"/>
      <c r="I307" s="90"/>
    </row>
    <row r="308" spans="8:9" ht="15.75" customHeight="1" x14ac:dyDescent="0.35">
      <c r="H308" s="90"/>
      <c r="I308" s="90"/>
    </row>
    <row r="309" spans="8:9" ht="15.75" customHeight="1" x14ac:dyDescent="0.35">
      <c r="H309" s="90"/>
      <c r="I309" s="90"/>
    </row>
    <row r="310" spans="8:9" ht="15.75" customHeight="1" x14ac:dyDescent="0.35">
      <c r="H310" s="90"/>
      <c r="I310" s="90"/>
    </row>
    <row r="311" spans="8:9" ht="15.75" customHeight="1" x14ac:dyDescent="0.35">
      <c r="H311" s="90"/>
      <c r="I311" s="90"/>
    </row>
    <row r="312" spans="8:9" ht="15.75" customHeight="1" x14ac:dyDescent="0.35">
      <c r="H312" s="90"/>
      <c r="I312" s="90"/>
    </row>
    <row r="313" spans="8:9" ht="15.75" customHeight="1" x14ac:dyDescent="0.35">
      <c r="H313" s="90"/>
      <c r="I313" s="90"/>
    </row>
    <row r="314" spans="8:9" ht="15.75" customHeight="1" x14ac:dyDescent="0.35">
      <c r="H314" s="90"/>
      <c r="I314" s="90"/>
    </row>
    <row r="315" spans="8:9" ht="15.75" customHeight="1" x14ac:dyDescent="0.35">
      <c r="H315" s="90"/>
      <c r="I315" s="90"/>
    </row>
    <row r="316" spans="8:9" ht="15.75" customHeight="1" x14ac:dyDescent="0.35">
      <c r="H316" s="90"/>
      <c r="I316" s="90"/>
    </row>
    <row r="317" spans="8:9" ht="15.75" customHeight="1" x14ac:dyDescent="0.35">
      <c r="H317" s="90"/>
      <c r="I317" s="90"/>
    </row>
    <row r="318" spans="8:9" ht="15.75" customHeight="1" x14ac:dyDescent="0.35">
      <c r="H318" s="90"/>
      <c r="I318" s="90"/>
    </row>
    <row r="319" spans="8:9" ht="15.75" customHeight="1" x14ac:dyDescent="0.35">
      <c r="H319" s="90"/>
      <c r="I319" s="90"/>
    </row>
    <row r="320" spans="8:9" ht="15.75" customHeight="1" x14ac:dyDescent="0.35">
      <c r="H320" s="90"/>
      <c r="I320" s="90"/>
    </row>
    <row r="321" spans="8:9" ht="15.75" customHeight="1" x14ac:dyDescent="0.35">
      <c r="H321" s="90"/>
      <c r="I321" s="90"/>
    </row>
    <row r="322" spans="8:9" ht="15.75" customHeight="1" x14ac:dyDescent="0.35">
      <c r="H322" s="90"/>
      <c r="I322" s="90"/>
    </row>
    <row r="323" spans="8:9" ht="15.75" customHeight="1" x14ac:dyDescent="0.35">
      <c r="H323" s="90"/>
      <c r="I323" s="90"/>
    </row>
    <row r="324" spans="8:9" ht="15.75" customHeight="1" x14ac:dyDescent="0.35">
      <c r="H324" s="90"/>
      <c r="I324" s="90"/>
    </row>
    <row r="325" spans="8:9" ht="15.75" customHeight="1" x14ac:dyDescent="0.35">
      <c r="H325" s="90"/>
      <c r="I325" s="90"/>
    </row>
    <row r="326" spans="8:9" ht="15.75" customHeight="1" x14ac:dyDescent="0.35">
      <c r="H326" s="90"/>
      <c r="I326" s="90"/>
    </row>
    <row r="327" spans="8:9" ht="15.75" customHeight="1" x14ac:dyDescent="0.35">
      <c r="H327" s="90"/>
      <c r="I327" s="90"/>
    </row>
    <row r="328" spans="8:9" ht="15.75" customHeight="1" x14ac:dyDescent="0.35">
      <c r="H328" s="90"/>
      <c r="I328" s="90"/>
    </row>
    <row r="329" spans="8:9" ht="15.75" customHeight="1" x14ac:dyDescent="0.35">
      <c r="H329" s="90"/>
      <c r="I329" s="90"/>
    </row>
    <row r="330" spans="8:9" ht="15.75" customHeight="1" x14ac:dyDescent="0.35">
      <c r="H330" s="90"/>
      <c r="I330" s="90"/>
    </row>
    <row r="331" spans="8:9" ht="15.75" customHeight="1" x14ac:dyDescent="0.35">
      <c r="H331" s="90"/>
      <c r="I331" s="90"/>
    </row>
    <row r="332" spans="8:9" ht="15.75" customHeight="1" x14ac:dyDescent="0.35">
      <c r="H332" s="90"/>
      <c r="I332" s="90"/>
    </row>
    <row r="333" spans="8:9" ht="15.75" customHeight="1" x14ac:dyDescent="0.35">
      <c r="H333" s="90"/>
      <c r="I333" s="90"/>
    </row>
    <row r="334" spans="8:9" ht="15.75" customHeight="1" x14ac:dyDescent="0.35">
      <c r="H334" s="90"/>
      <c r="I334" s="90"/>
    </row>
    <row r="335" spans="8:9" ht="15.75" customHeight="1" x14ac:dyDescent="0.35">
      <c r="H335" s="90"/>
      <c r="I335" s="90"/>
    </row>
    <row r="336" spans="8:9" ht="15.75" customHeight="1" x14ac:dyDescent="0.35">
      <c r="H336" s="90"/>
      <c r="I336" s="90"/>
    </row>
    <row r="337" spans="8:9" ht="15.75" customHeight="1" x14ac:dyDescent="0.35">
      <c r="H337" s="90"/>
      <c r="I337" s="90"/>
    </row>
    <row r="338" spans="8:9" ht="15.75" customHeight="1" x14ac:dyDescent="0.35">
      <c r="H338" s="90"/>
      <c r="I338" s="90"/>
    </row>
    <row r="339" spans="8:9" ht="15.75" customHeight="1" x14ac:dyDescent="0.35">
      <c r="H339" s="90"/>
      <c r="I339" s="90"/>
    </row>
    <row r="340" spans="8:9" ht="15.75" customHeight="1" x14ac:dyDescent="0.35">
      <c r="H340" s="90"/>
      <c r="I340" s="90"/>
    </row>
    <row r="341" spans="8:9" ht="15.75" customHeight="1" x14ac:dyDescent="0.35">
      <c r="H341" s="90"/>
      <c r="I341" s="90"/>
    </row>
    <row r="342" spans="8:9" ht="15.75" customHeight="1" x14ac:dyDescent="0.35">
      <c r="H342" s="90"/>
      <c r="I342" s="90"/>
    </row>
    <row r="343" spans="8:9" ht="15.75" customHeight="1" x14ac:dyDescent="0.35">
      <c r="H343" s="90"/>
      <c r="I343" s="90"/>
    </row>
    <row r="344" spans="8:9" ht="15.75" customHeight="1" x14ac:dyDescent="0.35">
      <c r="H344" s="90"/>
      <c r="I344" s="90"/>
    </row>
    <row r="345" spans="8:9" ht="15.75" customHeight="1" x14ac:dyDescent="0.35">
      <c r="H345" s="90"/>
      <c r="I345" s="90"/>
    </row>
    <row r="346" spans="8:9" ht="15.75" customHeight="1" x14ac:dyDescent="0.35">
      <c r="H346" s="90"/>
      <c r="I346" s="90"/>
    </row>
    <row r="347" spans="8:9" ht="15.75" customHeight="1" x14ac:dyDescent="0.35">
      <c r="H347" s="90"/>
      <c r="I347" s="90"/>
    </row>
    <row r="348" spans="8:9" ht="15.75" customHeight="1" x14ac:dyDescent="0.35">
      <c r="H348" s="90"/>
      <c r="I348" s="90"/>
    </row>
    <row r="349" spans="8:9" ht="15.75" customHeight="1" x14ac:dyDescent="0.35">
      <c r="H349" s="90"/>
      <c r="I349" s="90"/>
    </row>
    <row r="350" spans="8:9" ht="15.75" customHeight="1" x14ac:dyDescent="0.35">
      <c r="H350" s="90"/>
      <c r="I350" s="90"/>
    </row>
    <row r="351" spans="8:9" ht="15.75" customHeight="1" x14ac:dyDescent="0.35">
      <c r="H351" s="90"/>
      <c r="I351" s="90"/>
    </row>
    <row r="352" spans="8:9" ht="15.75" customHeight="1" x14ac:dyDescent="0.35">
      <c r="H352" s="90"/>
      <c r="I352" s="90"/>
    </row>
    <row r="353" spans="8:9" ht="15.75" customHeight="1" x14ac:dyDescent="0.35">
      <c r="H353" s="90"/>
      <c r="I353" s="90"/>
    </row>
    <row r="354" spans="8:9" ht="15.75" customHeight="1" x14ac:dyDescent="0.35">
      <c r="H354" s="90"/>
      <c r="I354" s="90"/>
    </row>
    <row r="355" spans="8:9" ht="15.75" customHeight="1" x14ac:dyDescent="0.35">
      <c r="H355" s="90"/>
      <c r="I355" s="90"/>
    </row>
    <row r="356" spans="8:9" ht="15.75" customHeight="1" x14ac:dyDescent="0.35">
      <c r="H356" s="90"/>
      <c r="I356" s="90"/>
    </row>
    <row r="357" spans="8:9" ht="15.75" customHeight="1" x14ac:dyDescent="0.35">
      <c r="H357" s="90"/>
      <c r="I357" s="90"/>
    </row>
    <row r="358" spans="8:9" ht="15.75" customHeight="1" x14ac:dyDescent="0.35">
      <c r="H358" s="90"/>
      <c r="I358" s="90"/>
    </row>
    <row r="359" spans="8:9" ht="15.75" customHeight="1" x14ac:dyDescent="0.35">
      <c r="H359" s="90"/>
      <c r="I359" s="90"/>
    </row>
    <row r="360" spans="8:9" ht="15.75" customHeight="1" x14ac:dyDescent="0.35">
      <c r="H360" s="90"/>
      <c r="I360" s="90"/>
    </row>
    <row r="361" spans="8:9" ht="15.75" customHeight="1" x14ac:dyDescent="0.35">
      <c r="H361" s="90"/>
      <c r="I361" s="90"/>
    </row>
    <row r="362" spans="8:9" ht="15.75" customHeight="1" x14ac:dyDescent="0.35">
      <c r="H362" s="90"/>
      <c r="I362" s="90"/>
    </row>
    <row r="363" spans="8:9" ht="15.75" customHeight="1" x14ac:dyDescent="0.35">
      <c r="H363" s="90"/>
      <c r="I363" s="90"/>
    </row>
    <row r="364" spans="8:9" ht="15.75" customHeight="1" x14ac:dyDescent="0.35">
      <c r="H364" s="90"/>
      <c r="I364" s="90"/>
    </row>
    <row r="365" spans="8:9" ht="15.75" customHeight="1" x14ac:dyDescent="0.35">
      <c r="H365" s="90"/>
      <c r="I365" s="90"/>
    </row>
    <row r="366" spans="8:9" ht="15.75" customHeight="1" x14ac:dyDescent="0.35">
      <c r="H366" s="90"/>
      <c r="I366" s="90"/>
    </row>
    <row r="367" spans="8:9" ht="15.75" customHeight="1" x14ac:dyDescent="0.35">
      <c r="H367" s="90"/>
      <c r="I367" s="90"/>
    </row>
    <row r="368" spans="8:9" ht="15.75" customHeight="1" x14ac:dyDescent="0.35">
      <c r="H368" s="90"/>
      <c r="I368" s="90"/>
    </row>
    <row r="369" spans="8:9" ht="15.75" customHeight="1" x14ac:dyDescent="0.35">
      <c r="H369" s="90"/>
      <c r="I369" s="90"/>
    </row>
    <row r="370" spans="8:9" ht="15.75" customHeight="1" x14ac:dyDescent="0.35">
      <c r="H370" s="90"/>
      <c r="I370" s="90"/>
    </row>
    <row r="371" spans="8:9" ht="15.75" customHeight="1" x14ac:dyDescent="0.35">
      <c r="H371" s="90"/>
      <c r="I371" s="90"/>
    </row>
    <row r="372" spans="8:9" ht="15.75" customHeight="1" x14ac:dyDescent="0.35">
      <c r="H372" s="90"/>
      <c r="I372" s="90"/>
    </row>
    <row r="373" spans="8:9" ht="15.75" customHeight="1" x14ac:dyDescent="0.35">
      <c r="H373" s="90"/>
      <c r="I373" s="90"/>
    </row>
    <row r="374" spans="8:9" ht="15.75" customHeight="1" x14ac:dyDescent="0.35">
      <c r="H374" s="90"/>
      <c r="I374" s="90"/>
    </row>
    <row r="375" spans="8:9" ht="15.75" customHeight="1" x14ac:dyDescent="0.35">
      <c r="H375" s="90"/>
      <c r="I375" s="90"/>
    </row>
    <row r="376" spans="8:9" ht="15.75" customHeight="1" x14ac:dyDescent="0.35">
      <c r="H376" s="90"/>
      <c r="I376" s="90"/>
    </row>
    <row r="377" spans="8:9" ht="15.75" customHeight="1" x14ac:dyDescent="0.35">
      <c r="H377" s="90"/>
      <c r="I377" s="90"/>
    </row>
    <row r="378" spans="8:9" ht="15.75" customHeight="1" x14ac:dyDescent="0.35">
      <c r="H378" s="90"/>
      <c r="I378" s="90"/>
    </row>
    <row r="379" spans="8:9" ht="15.75" customHeight="1" x14ac:dyDescent="0.35">
      <c r="H379" s="90"/>
      <c r="I379" s="90"/>
    </row>
    <row r="380" spans="8:9" ht="15.75" customHeight="1" x14ac:dyDescent="0.35">
      <c r="H380" s="90"/>
      <c r="I380" s="90"/>
    </row>
    <row r="381" spans="8:9" ht="15.75" customHeight="1" x14ac:dyDescent="0.35">
      <c r="H381" s="90"/>
      <c r="I381" s="90"/>
    </row>
    <row r="382" spans="8:9" ht="15.75" customHeight="1" x14ac:dyDescent="0.35">
      <c r="H382" s="90"/>
      <c r="I382" s="90"/>
    </row>
    <row r="383" spans="8:9" ht="15.75" customHeight="1" x14ac:dyDescent="0.35">
      <c r="H383" s="90"/>
      <c r="I383" s="90"/>
    </row>
    <row r="384" spans="8:9" ht="15.75" customHeight="1" x14ac:dyDescent="0.35">
      <c r="H384" s="90"/>
      <c r="I384" s="90"/>
    </row>
    <row r="385" spans="8:9" ht="15.75" customHeight="1" x14ac:dyDescent="0.35">
      <c r="H385" s="90"/>
      <c r="I385" s="90"/>
    </row>
    <row r="386" spans="8:9" ht="15.75" customHeight="1" x14ac:dyDescent="0.35">
      <c r="H386" s="90"/>
      <c r="I386" s="90"/>
    </row>
    <row r="387" spans="8:9" ht="15.75" customHeight="1" x14ac:dyDescent="0.35">
      <c r="H387" s="90"/>
      <c r="I387" s="90"/>
    </row>
    <row r="388" spans="8:9" ht="15.75" customHeight="1" x14ac:dyDescent="0.35">
      <c r="H388" s="90"/>
      <c r="I388" s="90"/>
    </row>
    <row r="389" spans="8:9" ht="15.75" customHeight="1" x14ac:dyDescent="0.35">
      <c r="H389" s="90"/>
      <c r="I389" s="90"/>
    </row>
    <row r="390" spans="8:9" ht="15.75" customHeight="1" x14ac:dyDescent="0.35">
      <c r="H390" s="90"/>
      <c r="I390" s="90"/>
    </row>
    <row r="391" spans="8:9" ht="15.75" customHeight="1" x14ac:dyDescent="0.35">
      <c r="H391" s="90"/>
      <c r="I391" s="90"/>
    </row>
    <row r="392" spans="8:9" ht="15.75" customHeight="1" x14ac:dyDescent="0.35">
      <c r="H392" s="90"/>
      <c r="I392" s="90"/>
    </row>
    <row r="393" spans="8:9" ht="15.75" customHeight="1" x14ac:dyDescent="0.35">
      <c r="H393" s="90"/>
      <c r="I393" s="90"/>
    </row>
    <row r="394" spans="8:9" ht="15.75" customHeight="1" x14ac:dyDescent="0.35">
      <c r="H394" s="90"/>
      <c r="I394" s="90"/>
    </row>
    <row r="395" spans="8:9" ht="15.75" customHeight="1" x14ac:dyDescent="0.35">
      <c r="H395" s="90"/>
      <c r="I395" s="90"/>
    </row>
    <row r="396" spans="8:9" ht="15.75" customHeight="1" x14ac:dyDescent="0.35">
      <c r="H396" s="90"/>
      <c r="I396" s="90"/>
    </row>
    <row r="397" spans="8:9" ht="15.75" customHeight="1" x14ac:dyDescent="0.35">
      <c r="H397" s="90"/>
      <c r="I397" s="90"/>
    </row>
    <row r="398" spans="8:9" ht="15.75" customHeight="1" x14ac:dyDescent="0.35">
      <c r="H398" s="90"/>
      <c r="I398" s="90"/>
    </row>
    <row r="399" spans="8:9" ht="15.75" customHeight="1" x14ac:dyDescent="0.35">
      <c r="H399" s="90"/>
      <c r="I399" s="90"/>
    </row>
    <row r="400" spans="8:9" ht="15.75" customHeight="1" x14ac:dyDescent="0.35">
      <c r="H400" s="90"/>
      <c r="I400" s="90"/>
    </row>
    <row r="401" spans="8:9" ht="15.75" customHeight="1" x14ac:dyDescent="0.35">
      <c r="H401" s="90"/>
      <c r="I401" s="90"/>
    </row>
    <row r="402" spans="8:9" ht="15.75" customHeight="1" x14ac:dyDescent="0.35">
      <c r="H402" s="90"/>
      <c r="I402" s="90"/>
    </row>
    <row r="403" spans="8:9" ht="15.75" customHeight="1" x14ac:dyDescent="0.35">
      <c r="H403" s="90"/>
      <c r="I403" s="90"/>
    </row>
    <row r="404" spans="8:9" ht="15.75" customHeight="1" x14ac:dyDescent="0.35">
      <c r="H404" s="90"/>
      <c r="I404" s="90"/>
    </row>
    <row r="405" spans="8:9" ht="15.75" customHeight="1" x14ac:dyDescent="0.35">
      <c r="H405" s="90"/>
      <c r="I405" s="90"/>
    </row>
    <row r="406" spans="8:9" ht="15.75" customHeight="1" x14ac:dyDescent="0.35">
      <c r="H406" s="90"/>
      <c r="I406" s="90"/>
    </row>
    <row r="407" spans="8:9" ht="15.75" customHeight="1" x14ac:dyDescent="0.35">
      <c r="H407" s="90"/>
      <c r="I407" s="90"/>
    </row>
    <row r="408" spans="8:9" ht="15.75" customHeight="1" x14ac:dyDescent="0.35">
      <c r="H408" s="90"/>
      <c r="I408" s="90"/>
    </row>
    <row r="409" spans="8:9" ht="15.75" customHeight="1" x14ac:dyDescent="0.35">
      <c r="H409" s="90"/>
      <c r="I409" s="90"/>
    </row>
    <row r="410" spans="8:9" ht="15.75" customHeight="1" x14ac:dyDescent="0.35">
      <c r="H410" s="90"/>
      <c r="I410" s="90"/>
    </row>
    <row r="411" spans="8:9" ht="15.75" customHeight="1" x14ac:dyDescent="0.35">
      <c r="H411" s="90"/>
      <c r="I411" s="90"/>
    </row>
    <row r="412" spans="8:9" ht="15.75" customHeight="1" x14ac:dyDescent="0.35">
      <c r="H412" s="90"/>
      <c r="I412" s="90"/>
    </row>
    <row r="413" spans="8:9" ht="15.75" customHeight="1" x14ac:dyDescent="0.35">
      <c r="H413" s="90"/>
      <c r="I413" s="90"/>
    </row>
    <row r="414" spans="8:9" ht="15.75" customHeight="1" x14ac:dyDescent="0.35">
      <c r="H414" s="90"/>
      <c r="I414" s="90"/>
    </row>
    <row r="415" spans="8:9" ht="15.75" customHeight="1" x14ac:dyDescent="0.35">
      <c r="H415" s="90"/>
      <c r="I415" s="90"/>
    </row>
    <row r="416" spans="8:9" ht="15.75" customHeight="1" x14ac:dyDescent="0.35">
      <c r="H416" s="90"/>
      <c r="I416" s="90"/>
    </row>
    <row r="417" spans="8:9" ht="15.75" customHeight="1" x14ac:dyDescent="0.35">
      <c r="H417" s="90"/>
      <c r="I417" s="90"/>
    </row>
    <row r="418" spans="8:9" ht="15.75" customHeight="1" x14ac:dyDescent="0.35">
      <c r="H418" s="90"/>
      <c r="I418" s="90"/>
    </row>
    <row r="419" spans="8:9" ht="15.75" customHeight="1" x14ac:dyDescent="0.35">
      <c r="H419" s="90"/>
      <c r="I419" s="90"/>
    </row>
    <row r="420" spans="8:9" ht="15.75" customHeight="1" x14ac:dyDescent="0.35">
      <c r="H420" s="90"/>
      <c r="I420" s="90"/>
    </row>
    <row r="421" spans="8:9" ht="15.75" customHeight="1" x14ac:dyDescent="0.35">
      <c r="H421" s="90"/>
      <c r="I421" s="90"/>
    </row>
    <row r="422" spans="8:9" ht="15.75" customHeight="1" x14ac:dyDescent="0.35">
      <c r="H422" s="90"/>
      <c r="I422" s="90"/>
    </row>
    <row r="423" spans="8:9" ht="15.75" customHeight="1" x14ac:dyDescent="0.35">
      <c r="H423" s="90"/>
      <c r="I423" s="90"/>
    </row>
    <row r="424" spans="8:9" ht="15.75" customHeight="1" x14ac:dyDescent="0.35">
      <c r="H424" s="90"/>
      <c r="I424" s="90"/>
    </row>
    <row r="425" spans="8:9" ht="15.75" customHeight="1" x14ac:dyDescent="0.35">
      <c r="H425" s="90"/>
      <c r="I425" s="90"/>
    </row>
    <row r="426" spans="8:9" ht="15.75" customHeight="1" x14ac:dyDescent="0.35">
      <c r="H426" s="90"/>
      <c r="I426" s="90"/>
    </row>
    <row r="427" spans="8:9" ht="15.75" customHeight="1" x14ac:dyDescent="0.35">
      <c r="H427" s="90"/>
      <c r="I427" s="90"/>
    </row>
    <row r="428" spans="8:9" ht="15.75" customHeight="1" x14ac:dyDescent="0.35">
      <c r="H428" s="90"/>
      <c r="I428" s="90"/>
    </row>
    <row r="429" spans="8:9" ht="15.75" customHeight="1" x14ac:dyDescent="0.35">
      <c r="H429" s="90"/>
      <c r="I429" s="90"/>
    </row>
    <row r="430" spans="8:9" ht="15.75" customHeight="1" x14ac:dyDescent="0.35">
      <c r="H430" s="90"/>
      <c r="I430" s="90"/>
    </row>
    <row r="431" spans="8:9" ht="15.75" customHeight="1" x14ac:dyDescent="0.35">
      <c r="H431" s="90"/>
      <c r="I431" s="90"/>
    </row>
    <row r="432" spans="8:9" ht="15.75" customHeight="1" x14ac:dyDescent="0.35">
      <c r="H432" s="90"/>
      <c r="I432" s="90"/>
    </row>
    <row r="433" spans="8:9" ht="15.75" customHeight="1" x14ac:dyDescent="0.35">
      <c r="H433" s="90"/>
      <c r="I433" s="90"/>
    </row>
    <row r="434" spans="8:9" ht="15.75" customHeight="1" x14ac:dyDescent="0.35">
      <c r="H434" s="90"/>
      <c r="I434" s="90"/>
    </row>
    <row r="435" spans="8:9" ht="15.75" customHeight="1" x14ac:dyDescent="0.35">
      <c r="H435" s="90"/>
      <c r="I435" s="90"/>
    </row>
    <row r="436" spans="8:9" ht="15.75" customHeight="1" x14ac:dyDescent="0.35">
      <c r="H436" s="90"/>
      <c r="I436" s="90"/>
    </row>
    <row r="437" spans="8:9" ht="15.75" customHeight="1" x14ac:dyDescent="0.35">
      <c r="H437" s="90"/>
      <c r="I437" s="90"/>
    </row>
    <row r="438" spans="8:9" ht="15.75" customHeight="1" x14ac:dyDescent="0.35">
      <c r="H438" s="90"/>
      <c r="I438" s="90"/>
    </row>
    <row r="439" spans="8:9" ht="15.75" customHeight="1" x14ac:dyDescent="0.35">
      <c r="H439" s="90"/>
      <c r="I439" s="90"/>
    </row>
    <row r="440" spans="8:9" ht="15.75" customHeight="1" x14ac:dyDescent="0.35">
      <c r="H440" s="90"/>
      <c r="I440" s="90"/>
    </row>
    <row r="441" spans="8:9" ht="15.75" customHeight="1" x14ac:dyDescent="0.35">
      <c r="H441" s="90"/>
      <c r="I441" s="90"/>
    </row>
    <row r="442" spans="8:9" ht="15.75" customHeight="1" x14ac:dyDescent="0.35">
      <c r="H442" s="90"/>
      <c r="I442" s="90"/>
    </row>
    <row r="443" spans="8:9" ht="15.75" customHeight="1" x14ac:dyDescent="0.35">
      <c r="H443" s="90"/>
      <c r="I443" s="90"/>
    </row>
    <row r="444" spans="8:9" ht="15.75" customHeight="1" x14ac:dyDescent="0.35">
      <c r="H444" s="90"/>
      <c r="I444" s="90"/>
    </row>
    <row r="445" spans="8:9" ht="15.75" customHeight="1" x14ac:dyDescent="0.35">
      <c r="H445" s="90"/>
      <c r="I445" s="90"/>
    </row>
    <row r="446" spans="8:9" ht="15.75" customHeight="1" x14ac:dyDescent="0.35">
      <c r="H446" s="90"/>
      <c r="I446" s="90"/>
    </row>
    <row r="447" spans="8:9" ht="15.75" customHeight="1" x14ac:dyDescent="0.35">
      <c r="H447" s="90"/>
      <c r="I447" s="90"/>
    </row>
    <row r="448" spans="8:9" ht="15.75" customHeight="1" x14ac:dyDescent="0.35">
      <c r="H448" s="90"/>
      <c r="I448" s="90"/>
    </row>
    <row r="449" spans="8:9" ht="15.75" customHeight="1" x14ac:dyDescent="0.35">
      <c r="H449" s="90"/>
      <c r="I449" s="90"/>
    </row>
    <row r="450" spans="8:9" ht="15.75" customHeight="1" x14ac:dyDescent="0.35">
      <c r="H450" s="90"/>
      <c r="I450" s="90"/>
    </row>
    <row r="451" spans="8:9" ht="15.75" customHeight="1" x14ac:dyDescent="0.35">
      <c r="H451" s="90"/>
      <c r="I451" s="90"/>
    </row>
    <row r="452" spans="8:9" ht="15.75" customHeight="1" x14ac:dyDescent="0.35">
      <c r="H452" s="90"/>
      <c r="I452" s="90"/>
    </row>
    <row r="453" spans="8:9" ht="15.75" customHeight="1" x14ac:dyDescent="0.35">
      <c r="H453" s="90"/>
      <c r="I453" s="90"/>
    </row>
    <row r="454" spans="8:9" ht="15.75" customHeight="1" x14ac:dyDescent="0.35">
      <c r="H454" s="90"/>
      <c r="I454" s="90"/>
    </row>
    <row r="455" spans="8:9" ht="15.75" customHeight="1" x14ac:dyDescent="0.35">
      <c r="H455" s="90"/>
      <c r="I455" s="90"/>
    </row>
    <row r="456" spans="8:9" ht="15.75" customHeight="1" x14ac:dyDescent="0.35">
      <c r="H456" s="90"/>
      <c r="I456" s="90"/>
    </row>
    <row r="457" spans="8:9" ht="15.75" customHeight="1" x14ac:dyDescent="0.35">
      <c r="H457" s="90"/>
      <c r="I457" s="90"/>
    </row>
    <row r="458" spans="8:9" ht="15.75" customHeight="1" x14ac:dyDescent="0.35">
      <c r="H458" s="90"/>
      <c r="I458" s="90"/>
    </row>
    <row r="459" spans="8:9" ht="15.75" customHeight="1" x14ac:dyDescent="0.35">
      <c r="H459" s="90"/>
      <c r="I459" s="90"/>
    </row>
    <row r="460" spans="8:9" ht="15.75" customHeight="1" x14ac:dyDescent="0.35">
      <c r="H460" s="90"/>
      <c r="I460" s="90"/>
    </row>
    <row r="461" spans="8:9" ht="15.75" customHeight="1" x14ac:dyDescent="0.35">
      <c r="H461" s="90"/>
      <c r="I461" s="90"/>
    </row>
    <row r="462" spans="8:9" ht="15.75" customHeight="1" x14ac:dyDescent="0.35">
      <c r="H462" s="90"/>
      <c r="I462" s="90"/>
    </row>
    <row r="463" spans="8:9" ht="15.75" customHeight="1" x14ac:dyDescent="0.35">
      <c r="H463" s="90"/>
      <c r="I463" s="90"/>
    </row>
    <row r="464" spans="8:9" ht="15.75" customHeight="1" x14ac:dyDescent="0.35">
      <c r="H464" s="90"/>
      <c r="I464" s="90"/>
    </row>
    <row r="465" spans="8:9" ht="15.75" customHeight="1" x14ac:dyDescent="0.35">
      <c r="H465" s="90"/>
      <c r="I465" s="90"/>
    </row>
    <row r="466" spans="8:9" ht="15.75" customHeight="1" x14ac:dyDescent="0.35">
      <c r="H466" s="90"/>
      <c r="I466" s="90"/>
    </row>
    <row r="467" spans="8:9" ht="15.75" customHeight="1" x14ac:dyDescent="0.35">
      <c r="H467" s="90"/>
      <c r="I467" s="90"/>
    </row>
    <row r="468" spans="8:9" ht="15.75" customHeight="1" x14ac:dyDescent="0.35">
      <c r="H468" s="90"/>
      <c r="I468" s="90"/>
    </row>
    <row r="469" spans="8:9" ht="15.75" customHeight="1" x14ac:dyDescent="0.35">
      <c r="H469" s="90"/>
      <c r="I469" s="90"/>
    </row>
    <row r="470" spans="8:9" ht="15.75" customHeight="1" x14ac:dyDescent="0.35">
      <c r="H470" s="90"/>
      <c r="I470" s="90"/>
    </row>
    <row r="471" spans="8:9" ht="15.75" customHeight="1" x14ac:dyDescent="0.35">
      <c r="H471" s="90"/>
      <c r="I471" s="90"/>
    </row>
    <row r="472" spans="8:9" ht="15.75" customHeight="1" x14ac:dyDescent="0.35">
      <c r="H472" s="90"/>
      <c r="I472" s="90"/>
    </row>
    <row r="473" spans="8:9" ht="15.75" customHeight="1" x14ac:dyDescent="0.35">
      <c r="H473" s="90"/>
      <c r="I473" s="90"/>
    </row>
    <row r="474" spans="8:9" ht="15.75" customHeight="1" x14ac:dyDescent="0.35">
      <c r="H474" s="90"/>
      <c r="I474" s="90"/>
    </row>
    <row r="475" spans="8:9" ht="15.75" customHeight="1" x14ac:dyDescent="0.35">
      <c r="H475" s="90"/>
      <c r="I475" s="90"/>
    </row>
    <row r="476" spans="8:9" ht="15.75" customHeight="1" x14ac:dyDescent="0.35">
      <c r="H476" s="90"/>
      <c r="I476" s="90"/>
    </row>
    <row r="477" spans="8:9" ht="15.75" customHeight="1" x14ac:dyDescent="0.35">
      <c r="H477" s="90"/>
      <c r="I477" s="90"/>
    </row>
    <row r="478" spans="8:9" ht="15.75" customHeight="1" x14ac:dyDescent="0.35">
      <c r="H478" s="90"/>
      <c r="I478" s="90"/>
    </row>
    <row r="479" spans="8:9" ht="15.75" customHeight="1" x14ac:dyDescent="0.35">
      <c r="H479" s="90"/>
      <c r="I479" s="90"/>
    </row>
    <row r="480" spans="8:9" ht="15.75" customHeight="1" x14ac:dyDescent="0.35">
      <c r="H480" s="90"/>
      <c r="I480" s="90"/>
    </row>
    <row r="481" spans="8:9" ht="15.75" customHeight="1" x14ac:dyDescent="0.35">
      <c r="H481" s="90"/>
      <c r="I481" s="90"/>
    </row>
    <row r="482" spans="8:9" ht="15.75" customHeight="1" x14ac:dyDescent="0.35">
      <c r="H482" s="90"/>
      <c r="I482" s="90"/>
    </row>
    <row r="483" spans="8:9" ht="15.75" customHeight="1" x14ac:dyDescent="0.35">
      <c r="H483" s="90"/>
      <c r="I483" s="90"/>
    </row>
    <row r="484" spans="8:9" ht="15.75" customHeight="1" x14ac:dyDescent="0.35">
      <c r="H484" s="90"/>
      <c r="I484" s="90"/>
    </row>
    <row r="485" spans="8:9" ht="15.75" customHeight="1" x14ac:dyDescent="0.35">
      <c r="H485" s="90"/>
      <c r="I485" s="90"/>
    </row>
    <row r="486" spans="8:9" ht="15.75" customHeight="1" x14ac:dyDescent="0.35">
      <c r="H486" s="90"/>
      <c r="I486" s="90"/>
    </row>
    <row r="487" spans="8:9" ht="15.75" customHeight="1" x14ac:dyDescent="0.35">
      <c r="H487" s="90"/>
      <c r="I487" s="90"/>
    </row>
    <row r="488" spans="8:9" ht="15.75" customHeight="1" x14ac:dyDescent="0.35">
      <c r="H488" s="90"/>
      <c r="I488" s="90"/>
    </row>
    <row r="489" spans="8:9" ht="15.75" customHeight="1" x14ac:dyDescent="0.35">
      <c r="H489" s="90"/>
      <c r="I489" s="90"/>
    </row>
    <row r="490" spans="8:9" ht="15.75" customHeight="1" x14ac:dyDescent="0.35">
      <c r="H490" s="90"/>
      <c r="I490" s="90"/>
    </row>
    <row r="491" spans="8:9" ht="15.75" customHeight="1" x14ac:dyDescent="0.35">
      <c r="H491" s="90"/>
      <c r="I491" s="90"/>
    </row>
    <row r="492" spans="8:9" ht="15.75" customHeight="1" x14ac:dyDescent="0.35">
      <c r="H492" s="90"/>
      <c r="I492" s="90"/>
    </row>
    <row r="493" spans="8:9" ht="15.75" customHeight="1" x14ac:dyDescent="0.35">
      <c r="H493" s="90"/>
      <c r="I493" s="90"/>
    </row>
    <row r="494" spans="8:9" ht="15.75" customHeight="1" x14ac:dyDescent="0.35">
      <c r="H494" s="90"/>
      <c r="I494" s="90"/>
    </row>
    <row r="495" spans="8:9" ht="15.75" customHeight="1" x14ac:dyDescent="0.35">
      <c r="H495" s="90"/>
      <c r="I495" s="90"/>
    </row>
    <row r="496" spans="8:9" ht="15.75" customHeight="1" x14ac:dyDescent="0.35">
      <c r="H496" s="90"/>
      <c r="I496" s="90"/>
    </row>
    <row r="497" spans="8:9" ht="15.75" customHeight="1" x14ac:dyDescent="0.35">
      <c r="H497" s="90"/>
      <c r="I497" s="90"/>
    </row>
    <row r="498" spans="8:9" ht="15.75" customHeight="1" x14ac:dyDescent="0.35">
      <c r="H498" s="90"/>
      <c r="I498" s="90"/>
    </row>
    <row r="499" spans="8:9" ht="15.75" customHeight="1" x14ac:dyDescent="0.35">
      <c r="H499" s="90"/>
      <c r="I499" s="90"/>
    </row>
    <row r="500" spans="8:9" ht="15.75" customHeight="1" x14ac:dyDescent="0.35">
      <c r="H500" s="90"/>
      <c r="I500" s="90"/>
    </row>
    <row r="501" spans="8:9" ht="15.75" customHeight="1" x14ac:dyDescent="0.35">
      <c r="H501" s="90"/>
      <c r="I501" s="90"/>
    </row>
    <row r="502" spans="8:9" ht="15.75" customHeight="1" x14ac:dyDescent="0.35">
      <c r="H502" s="90"/>
      <c r="I502" s="90"/>
    </row>
    <row r="503" spans="8:9" ht="15.75" customHeight="1" x14ac:dyDescent="0.35">
      <c r="H503" s="90"/>
      <c r="I503" s="90"/>
    </row>
    <row r="504" spans="8:9" ht="15.75" customHeight="1" x14ac:dyDescent="0.35">
      <c r="H504" s="90"/>
      <c r="I504" s="90"/>
    </row>
    <row r="505" spans="8:9" ht="15.75" customHeight="1" x14ac:dyDescent="0.35">
      <c r="H505" s="90"/>
      <c r="I505" s="90"/>
    </row>
    <row r="506" spans="8:9" ht="15.75" customHeight="1" x14ac:dyDescent="0.35">
      <c r="H506" s="90"/>
      <c r="I506" s="90"/>
    </row>
    <row r="507" spans="8:9" ht="15.75" customHeight="1" x14ac:dyDescent="0.35">
      <c r="H507" s="90"/>
      <c r="I507" s="90"/>
    </row>
    <row r="508" spans="8:9" ht="15.75" customHeight="1" x14ac:dyDescent="0.35">
      <c r="H508" s="90"/>
      <c r="I508" s="90"/>
    </row>
    <row r="509" spans="8:9" ht="15.75" customHeight="1" x14ac:dyDescent="0.35">
      <c r="H509" s="90"/>
      <c r="I509" s="90"/>
    </row>
    <row r="510" spans="8:9" ht="15.75" customHeight="1" x14ac:dyDescent="0.35">
      <c r="H510" s="90"/>
      <c r="I510" s="90"/>
    </row>
    <row r="511" spans="8:9" ht="15.75" customHeight="1" x14ac:dyDescent="0.35">
      <c r="H511" s="90"/>
      <c r="I511" s="90"/>
    </row>
    <row r="512" spans="8:9" ht="15.75" customHeight="1" x14ac:dyDescent="0.35">
      <c r="H512" s="90"/>
      <c r="I512" s="90"/>
    </row>
    <row r="513" spans="8:9" ht="15.75" customHeight="1" x14ac:dyDescent="0.35">
      <c r="H513" s="90"/>
      <c r="I513" s="90"/>
    </row>
    <row r="514" spans="8:9" ht="15.75" customHeight="1" x14ac:dyDescent="0.35">
      <c r="H514" s="90"/>
      <c r="I514" s="90"/>
    </row>
    <row r="515" spans="8:9" ht="15.75" customHeight="1" x14ac:dyDescent="0.35">
      <c r="H515" s="90"/>
      <c r="I515" s="90"/>
    </row>
    <row r="516" spans="8:9" ht="15.75" customHeight="1" x14ac:dyDescent="0.35">
      <c r="H516" s="90"/>
      <c r="I516" s="90"/>
    </row>
    <row r="517" spans="8:9" ht="15.75" customHeight="1" x14ac:dyDescent="0.35">
      <c r="H517" s="90"/>
      <c r="I517" s="90"/>
    </row>
    <row r="518" spans="8:9" ht="15.75" customHeight="1" x14ac:dyDescent="0.35">
      <c r="H518" s="90"/>
      <c r="I518" s="90"/>
    </row>
    <row r="519" spans="8:9" ht="15.75" customHeight="1" x14ac:dyDescent="0.35">
      <c r="H519" s="90"/>
      <c r="I519" s="90"/>
    </row>
    <row r="520" spans="8:9" ht="15.75" customHeight="1" x14ac:dyDescent="0.35">
      <c r="H520" s="90"/>
      <c r="I520" s="90"/>
    </row>
    <row r="521" spans="8:9" ht="15.75" customHeight="1" x14ac:dyDescent="0.35">
      <c r="H521" s="90"/>
      <c r="I521" s="90"/>
    </row>
    <row r="522" spans="8:9" ht="15.75" customHeight="1" x14ac:dyDescent="0.35">
      <c r="H522" s="90"/>
      <c r="I522" s="90"/>
    </row>
    <row r="523" spans="8:9" ht="15.75" customHeight="1" x14ac:dyDescent="0.35">
      <c r="H523" s="90"/>
      <c r="I523" s="90"/>
    </row>
    <row r="524" spans="8:9" ht="15.75" customHeight="1" x14ac:dyDescent="0.35">
      <c r="H524" s="90"/>
      <c r="I524" s="90"/>
    </row>
    <row r="525" spans="8:9" ht="15.75" customHeight="1" x14ac:dyDescent="0.35">
      <c r="H525" s="90"/>
      <c r="I525" s="90"/>
    </row>
    <row r="526" spans="8:9" ht="15.75" customHeight="1" x14ac:dyDescent="0.35">
      <c r="H526" s="90"/>
      <c r="I526" s="90"/>
    </row>
    <row r="527" spans="8:9" ht="15.75" customHeight="1" x14ac:dyDescent="0.35">
      <c r="H527" s="90"/>
      <c r="I527" s="90"/>
    </row>
    <row r="528" spans="8:9" ht="15.75" customHeight="1" x14ac:dyDescent="0.35">
      <c r="H528" s="90"/>
      <c r="I528" s="90"/>
    </row>
    <row r="529" spans="8:9" ht="15.75" customHeight="1" x14ac:dyDescent="0.35">
      <c r="H529" s="90"/>
      <c r="I529" s="90"/>
    </row>
    <row r="530" spans="8:9" ht="15.75" customHeight="1" x14ac:dyDescent="0.35">
      <c r="H530" s="90"/>
      <c r="I530" s="90"/>
    </row>
    <row r="531" spans="8:9" ht="15.75" customHeight="1" x14ac:dyDescent="0.35">
      <c r="H531" s="90"/>
      <c r="I531" s="90"/>
    </row>
    <row r="532" spans="8:9" ht="15.75" customHeight="1" x14ac:dyDescent="0.35">
      <c r="H532" s="90"/>
      <c r="I532" s="90"/>
    </row>
    <row r="533" spans="8:9" ht="15.75" customHeight="1" x14ac:dyDescent="0.35">
      <c r="H533" s="90"/>
      <c r="I533" s="90"/>
    </row>
    <row r="534" spans="8:9" ht="15.75" customHeight="1" x14ac:dyDescent="0.35">
      <c r="H534" s="90"/>
      <c r="I534" s="90"/>
    </row>
    <row r="535" spans="8:9" ht="15.75" customHeight="1" x14ac:dyDescent="0.35">
      <c r="H535" s="90"/>
      <c r="I535" s="90"/>
    </row>
    <row r="536" spans="8:9" ht="15.75" customHeight="1" x14ac:dyDescent="0.35">
      <c r="H536" s="90"/>
      <c r="I536" s="90"/>
    </row>
    <row r="537" spans="8:9" ht="15.75" customHeight="1" x14ac:dyDescent="0.35">
      <c r="H537" s="90"/>
      <c r="I537" s="90"/>
    </row>
    <row r="538" spans="8:9" ht="15.75" customHeight="1" x14ac:dyDescent="0.35">
      <c r="H538" s="90"/>
      <c r="I538" s="90"/>
    </row>
    <row r="539" spans="8:9" ht="15.75" customHeight="1" x14ac:dyDescent="0.35">
      <c r="H539" s="90"/>
      <c r="I539" s="90"/>
    </row>
    <row r="540" spans="8:9" ht="15.75" customHeight="1" x14ac:dyDescent="0.35">
      <c r="H540" s="90"/>
      <c r="I540" s="90"/>
    </row>
    <row r="541" spans="8:9" ht="15.75" customHeight="1" x14ac:dyDescent="0.35">
      <c r="H541" s="90"/>
      <c r="I541" s="90"/>
    </row>
    <row r="542" spans="8:9" ht="15.75" customHeight="1" x14ac:dyDescent="0.35">
      <c r="H542" s="90"/>
      <c r="I542" s="90"/>
    </row>
    <row r="543" spans="8:9" ht="15.75" customHeight="1" x14ac:dyDescent="0.35">
      <c r="H543" s="90"/>
      <c r="I543" s="90"/>
    </row>
    <row r="544" spans="8:9" ht="15.75" customHeight="1" x14ac:dyDescent="0.35">
      <c r="H544" s="90"/>
      <c r="I544" s="90"/>
    </row>
    <row r="545" spans="8:9" ht="15.75" customHeight="1" x14ac:dyDescent="0.35">
      <c r="H545" s="90"/>
      <c r="I545" s="90"/>
    </row>
    <row r="546" spans="8:9" ht="15.75" customHeight="1" x14ac:dyDescent="0.35">
      <c r="H546" s="90"/>
      <c r="I546" s="90"/>
    </row>
    <row r="547" spans="8:9" ht="15.75" customHeight="1" x14ac:dyDescent="0.35">
      <c r="H547" s="90"/>
      <c r="I547" s="90"/>
    </row>
    <row r="548" spans="8:9" ht="15.75" customHeight="1" x14ac:dyDescent="0.35">
      <c r="H548" s="90"/>
      <c r="I548" s="90"/>
    </row>
    <row r="549" spans="8:9" ht="15.75" customHeight="1" x14ac:dyDescent="0.35">
      <c r="H549" s="90"/>
      <c r="I549" s="90"/>
    </row>
    <row r="550" spans="8:9" ht="15.75" customHeight="1" x14ac:dyDescent="0.35">
      <c r="H550" s="90"/>
      <c r="I550" s="90"/>
    </row>
    <row r="551" spans="8:9" ht="15.75" customHeight="1" x14ac:dyDescent="0.35">
      <c r="H551" s="90"/>
      <c r="I551" s="90"/>
    </row>
    <row r="552" spans="8:9" ht="15.75" customHeight="1" x14ac:dyDescent="0.35">
      <c r="H552" s="90"/>
      <c r="I552" s="90"/>
    </row>
    <row r="553" spans="8:9" ht="15.75" customHeight="1" x14ac:dyDescent="0.35">
      <c r="H553" s="90"/>
      <c r="I553" s="90"/>
    </row>
    <row r="554" spans="8:9" ht="15.75" customHeight="1" x14ac:dyDescent="0.35">
      <c r="H554" s="90"/>
      <c r="I554" s="90"/>
    </row>
    <row r="555" spans="8:9" ht="15.75" customHeight="1" x14ac:dyDescent="0.35">
      <c r="H555" s="90"/>
      <c r="I555" s="90"/>
    </row>
    <row r="556" spans="8:9" ht="15.75" customHeight="1" x14ac:dyDescent="0.35">
      <c r="H556" s="90"/>
      <c r="I556" s="90"/>
    </row>
    <row r="557" spans="8:9" ht="15.75" customHeight="1" x14ac:dyDescent="0.35">
      <c r="H557" s="90"/>
      <c r="I557" s="90"/>
    </row>
    <row r="558" spans="8:9" ht="15.75" customHeight="1" x14ac:dyDescent="0.35">
      <c r="H558" s="90"/>
      <c r="I558" s="90"/>
    </row>
    <row r="559" spans="8:9" ht="15.75" customHeight="1" x14ac:dyDescent="0.35">
      <c r="H559" s="90"/>
      <c r="I559" s="90"/>
    </row>
    <row r="560" spans="8:9" ht="15.75" customHeight="1" x14ac:dyDescent="0.35">
      <c r="H560" s="90"/>
      <c r="I560" s="90"/>
    </row>
    <row r="561" spans="8:9" ht="15.75" customHeight="1" x14ac:dyDescent="0.35">
      <c r="H561" s="90"/>
      <c r="I561" s="90"/>
    </row>
    <row r="562" spans="8:9" ht="15.75" customHeight="1" x14ac:dyDescent="0.35">
      <c r="H562" s="90"/>
      <c r="I562" s="90"/>
    </row>
    <row r="563" spans="8:9" ht="15.75" customHeight="1" x14ac:dyDescent="0.35">
      <c r="H563" s="90"/>
      <c r="I563" s="90"/>
    </row>
    <row r="564" spans="8:9" ht="15.75" customHeight="1" x14ac:dyDescent="0.35">
      <c r="H564" s="90"/>
      <c r="I564" s="90"/>
    </row>
    <row r="565" spans="8:9" ht="15.75" customHeight="1" x14ac:dyDescent="0.35">
      <c r="H565" s="90"/>
      <c r="I565" s="90"/>
    </row>
    <row r="566" spans="8:9" ht="15.75" customHeight="1" x14ac:dyDescent="0.35">
      <c r="H566" s="90"/>
      <c r="I566" s="90"/>
    </row>
    <row r="567" spans="8:9" ht="15.75" customHeight="1" x14ac:dyDescent="0.35">
      <c r="H567" s="90"/>
      <c r="I567" s="90"/>
    </row>
    <row r="568" spans="8:9" ht="15.75" customHeight="1" x14ac:dyDescent="0.35">
      <c r="H568" s="90"/>
      <c r="I568" s="90"/>
    </row>
    <row r="569" spans="8:9" ht="15.75" customHeight="1" x14ac:dyDescent="0.35">
      <c r="H569" s="90"/>
      <c r="I569" s="90"/>
    </row>
    <row r="570" spans="8:9" ht="15.75" customHeight="1" x14ac:dyDescent="0.35">
      <c r="H570" s="90"/>
      <c r="I570" s="90"/>
    </row>
    <row r="571" spans="8:9" ht="15.75" customHeight="1" x14ac:dyDescent="0.35">
      <c r="H571" s="90"/>
      <c r="I571" s="90"/>
    </row>
    <row r="572" spans="8:9" ht="15.75" customHeight="1" x14ac:dyDescent="0.35">
      <c r="H572" s="90"/>
      <c r="I572" s="90"/>
    </row>
    <row r="573" spans="8:9" ht="15.75" customHeight="1" x14ac:dyDescent="0.35">
      <c r="H573" s="90"/>
      <c r="I573" s="90"/>
    </row>
    <row r="574" spans="8:9" ht="15.75" customHeight="1" x14ac:dyDescent="0.35">
      <c r="H574" s="90"/>
      <c r="I574" s="90"/>
    </row>
    <row r="575" spans="8:9" ht="15.75" customHeight="1" x14ac:dyDescent="0.35">
      <c r="H575" s="90"/>
      <c r="I575" s="90"/>
    </row>
    <row r="576" spans="8:9" ht="15.75" customHeight="1" x14ac:dyDescent="0.35">
      <c r="H576" s="90"/>
      <c r="I576" s="90"/>
    </row>
    <row r="577" spans="8:9" ht="15.75" customHeight="1" x14ac:dyDescent="0.35">
      <c r="H577" s="90"/>
      <c r="I577" s="90"/>
    </row>
    <row r="578" spans="8:9" ht="15.75" customHeight="1" x14ac:dyDescent="0.35">
      <c r="H578" s="90"/>
      <c r="I578" s="90"/>
    </row>
    <row r="579" spans="8:9" ht="15.75" customHeight="1" x14ac:dyDescent="0.35">
      <c r="H579" s="90"/>
      <c r="I579" s="90"/>
    </row>
    <row r="580" spans="8:9" ht="15.75" customHeight="1" x14ac:dyDescent="0.35">
      <c r="H580" s="90"/>
      <c r="I580" s="90"/>
    </row>
    <row r="581" spans="8:9" ht="15.75" customHeight="1" x14ac:dyDescent="0.35">
      <c r="H581" s="90"/>
      <c r="I581" s="90"/>
    </row>
    <row r="582" spans="8:9" ht="15.75" customHeight="1" x14ac:dyDescent="0.35">
      <c r="H582" s="90"/>
      <c r="I582" s="90"/>
    </row>
    <row r="583" spans="8:9" ht="15.75" customHeight="1" x14ac:dyDescent="0.35">
      <c r="H583" s="90"/>
      <c r="I583" s="90"/>
    </row>
    <row r="584" spans="8:9" ht="15.75" customHeight="1" x14ac:dyDescent="0.35">
      <c r="H584" s="90"/>
      <c r="I584" s="90"/>
    </row>
    <row r="585" spans="8:9" ht="15.75" customHeight="1" x14ac:dyDescent="0.35">
      <c r="H585" s="90"/>
      <c r="I585" s="90"/>
    </row>
    <row r="586" spans="8:9" ht="15.75" customHeight="1" x14ac:dyDescent="0.35">
      <c r="H586" s="90"/>
      <c r="I586" s="90"/>
    </row>
    <row r="587" spans="8:9" ht="15.75" customHeight="1" x14ac:dyDescent="0.35">
      <c r="H587" s="90"/>
      <c r="I587" s="90"/>
    </row>
    <row r="588" spans="8:9" ht="15.75" customHeight="1" x14ac:dyDescent="0.35">
      <c r="H588" s="90"/>
      <c r="I588" s="90"/>
    </row>
    <row r="589" spans="8:9" ht="15.75" customHeight="1" x14ac:dyDescent="0.35">
      <c r="H589" s="90"/>
      <c r="I589" s="90"/>
    </row>
    <row r="590" spans="8:9" ht="15.75" customHeight="1" x14ac:dyDescent="0.35">
      <c r="H590" s="90"/>
      <c r="I590" s="90"/>
    </row>
    <row r="591" spans="8:9" ht="15.75" customHeight="1" x14ac:dyDescent="0.35">
      <c r="H591" s="90"/>
      <c r="I591" s="90"/>
    </row>
    <row r="592" spans="8:9" ht="15.75" customHeight="1" x14ac:dyDescent="0.35">
      <c r="H592" s="90"/>
      <c r="I592" s="90"/>
    </row>
    <row r="593" spans="8:9" ht="15.75" customHeight="1" x14ac:dyDescent="0.35">
      <c r="H593" s="90"/>
      <c r="I593" s="90"/>
    </row>
    <row r="594" spans="8:9" ht="15.75" customHeight="1" x14ac:dyDescent="0.35">
      <c r="H594" s="90"/>
      <c r="I594" s="90"/>
    </row>
    <row r="595" spans="8:9" ht="15.75" customHeight="1" x14ac:dyDescent="0.35">
      <c r="H595" s="90"/>
      <c r="I595" s="90"/>
    </row>
    <row r="596" spans="8:9" ht="15.75" customHeight="1" x14ac:dyDescent="0.35">
      <c r="H596" s="90"/>
      <c r="I596" s="90"/>
    </row>
    <row r="597" spans="8:9" ht="15.75" customHeight="1" x14ac:dyDescent="0.35">
      <c r="H597" s="90"/>
      <c r="I597" s="90"/>
    </row>
    <row r="598" spans="8:9" ht="15.75" customHeight="1" x14ac:dyDescent="0.35">
      <c r="H598" s="90"/>
      <c r="I598" s="90"/>
    </row>
    <row r="599" spans="8:9" ht="15.75" customHeight="1" x14ac:dyDescent="0.35">
      <c r="H599" s="90"/>
      <c r="I599" s="90"/>
    </row>
    <row r="600" spans="8:9" ht="15.75" customHeight="1" x14ac:dyDescent="0.35">
      <c r="H600" s="90"/>
      <c r="I600" s="90"/>
    </row>
    <row r="601" spans="8:9" ht="15.75" customHeight="1" x14ac:dyDescent="0.35">
      <c r="H601" s="90"/>
      <c r="I601" s="90"/>
    </row>
    <row r="602" spans="8:9" ht="15.75" customHeight="1" x14ac:dyDescent="0.35">
      <c r="H602" s="90"/>
      <c r="I602" s="90"/>
    </row>
    <row r="603" spans="8:9" ht="15.75" customHeight="1" x14ac:dyDescent="0.35">
      <c r="H603" s="90"/>
      <c r="I603" s="90"/>
    </row>
    <row r="604" spans="8:9" ht="15.75" customHeight="1" x14ac:dyDescent="0.35">
      <c r="H604" s="90"/>
      <c r="I604" s="90"/>
    </row>
    <row r="605" spans="8:9" ht="15.75" customHeight="1" x14ac:dyDescent="0.35">
      <c r="H605" s="90"/>
      <c r="I605" s="90"/>
    </row>
    <row r="606" spans="8:9" ht="15.75" customHeight="1" x14ac:dyDescent="0.35">
      <c r="H606" s="90"/>
      <c r="I606" s="90"/>
    </row>
    <row r="607" spans="8:9" ht="15.75" customHeight="1" x14ac:dyDescent="0.35">
      <c r="H607" s="90"/>
      <c r="I607" s="90"/>
    </row>
    <row r="608" spans="8:9" ht="15.75" customHeight="1" x14ac:dyDescent="0.35">
      <c r="H608" s="90"/>
      <c r="I608" s="90"/>
    </row>
    <row r="609" spans="8:9" ht="15.75" customHeight="1" x14ac:dyDescent="0.35">
      <c r="H609" s="90"/>
      <c r="I609" s="90"/>
    </row>
    <row r="610" spans="8:9" ht="15.75" customHeight="1" x14ac:dyDescent="0.35">
      <c r="H610" s="90"/>
      <c r="I610" s="90"/>
    </row>
    <row r="611" spans="8:9" ht="15.75" customHeight="1" x14ac:dyDescent="0.35">
      <c r="H611" s="90"/>
      <c r="I611" s="90"/>
    </row>
    <row r="612" spans="8:9" ht="15.75" customHeight="1" x14ac:dyDescent="0.35">
      <c r="H612" s="90"/>
      <c r="I612" s="90"/>
    </row>
    <row r="613" spans="8:9" ht="15.75" customHeight="1" x14ac:dyDescent="0.35">
      <c r="H613" s="90"/>
      <c r="I613" s="90"/>
    </row>
    <row r="614" spans="8:9" ht="15.75" customHeight="1" x14ac:dyDescent="0.35">
      <c r="H614" s="90"/>
      <c r="I614" s="90"/>
    </row>
    <row r="615" spans="8:9" ht="15.75" customHeight="1" x14ac:dyDescent="0.35">
      <c r="H615" s="90"/>
      <c r="I615" s="90"/>
    </row>
    <row r="616" spans="8:9" ht="15.75" customHeight="1" x14ac:dyDescent="0.35">
      <c r="H616" s="90"/>
      <c r="I616" s="90"/>
    </row>
    <row r="617" spans="8:9" ht="15.75" customHeight="1" x14ac:dyDescent="0.35">
      <c r="H617" s="90"/>
      <c r="I617" s="90"/>
    </row>
    <row r="618" spans="8:9" ht="15.75" customHeight="1" x14ac:dyDescent="0.35">
      <c r="H618" s="90"/>
      <c r="I618" s="90"/>
    </row>
    <row r="619" spans="8:9" ht="15.75" customHeight="1" x14ac:dyDescent="0.35">
      <c r="H619" s="90"/>
      <c r="I619" s="90"/>
    </row>
    <row r="620" spans="8:9" ht="15.75" customHeight="1" x14ac:dyDescent="0.35">
      <c r="H620" s="90"/>
      <c r="I620" s="90"/>
    </row>
    <row r="621" spans="8:9" ht="15.75" customHeight="1" x14ac:dyDescent="0.35">
      <c r="H621" s="90"/>
      <c r="I621" s="90"/>
    </row>
    <row r="622" spans="8:9" ht="15.75" customHeight="1" x14ac:dyDescent="0.35">
      <c r="H622" s="90"/>
      <c r="I622" s="90"/>
    </row>
    <row r="623" spans="8:9" ht="15.75" customHeight="1" x14ac:dyDescent="0.35">
      <c r="H623" s="90"/>
      <c r="I623" s="90"/>
    </row>
    <row r="624" spans="8:9" ht="15.75" customHeight="1" x14ac:dyDescent="0.35">
      <c r="H624" s="90"/>
      <c r="I624" s="90"/>
    </row>
    <row r="625" spans="8:9" ht="15.75" customHeight="1" x14ac:dyDescent="0.35">
      <c r="H625" s="90"/>
      <c r="I625" s="90"/>
    </row>
    <row r="626" spans="8:9" ht="15.75" customHeight="1" x14ac:dyDescent="0.35">
      <c r="H626" s="90"/>
      <c r="I626" s="90"/>
    </row>
    <row r="627" spans="8:9" ht="15.75" customHeight="1" x14ac:dyDescent="0.35">
      <c r="H627" s="90"/>
      <c r="I627" s="90"/>
    </row>
    <row r="628" spans="8:9" ht="15.75" customHeight="1" x14ac:dyDescent="0.35">
      <c r="H628" s="90"/>
      <c r="I628" s="90"/>
    </row>
    <row r="629" spans="8:9" ht="15.75" customHeight="1" x14ac:dyDescent="0.35">
      <c r="H629" s="90"/>
      <c r="I629" s="90"/>
    </row>
    <row r="630" spans="8:9" ht="15.75" customHeight="1" x14ac:dyDescent="0.35">
      <c r="H630" s="90"/>
      <c r="I630" s="90"/>
    </row>
    <row r="631" spans="8:9" ht="15.75" customHeight="1" x14ac:dyDescent="0.35">
      <c r="H631" s="90"/>
      <c r="I631" s="90"/>
    </row>
    <row r="632" spans="8:9" ht="15.75" customHeight="1" x14ac:dyDescent="0.35">
      <c r="H632" s="90"/>
      <c r="I632" s="90"/>
    </row>
    <row r="633" spans="8:9" ht="15.75" customHeight="1" x14ac:dyDescent="0.35">
      <c r="H633" s="90"/>
      <c r="I633" s="90"/>
    </row>
    <row r="634" spans="8:9" ht="15.75" customHeight="1" x14ac:dyDescent="0.35">
      <c r="H634" s="90"/>
      <c r="I634" s="90"/>
    </row>
    <row r="635" spans="8:9" ht="15.75" customHeight="1" x14ac:dyDescent="0.35">
      <c r="H635" s="90"/>
      <c r="I635" s="90"/>
    </row>
    <row r="636" spans="8:9" ht="15.75" customHeight="1" x14ac:dyDescent="0.35">
      <c r="H636" s="90"/>
      <c r="I636" s="90"/>
    </row>
    <row r="637" spans="8:9" ht="15.75" customHeight="1" x14ac:dyDescent="0.35">
      <c r="H637" s="90"/>
      <c r="I637" s="90"/>
    </row>
    <row r="638" spans="8:9" ht="15.75" customHeight="1" x14ac:dyDescent="0.35">
      <c r="H638" s="90"/>
      <c r="I638" s="90"/>
    </row>
    <row r="639" spans="8:9" ht="15.75" customHeight="1" x14ac:dyDescent="0.35">
      <c r="H639" s="90"/>
      <c r="I639" s="90"/>
    </row>
    <row r="640" spans="8:9" ht="15.75" customHeight="1" x14ac:dyDescent="0.35">
      <c r="H640" s="90"/>
      <c r="I640" s="90"/>
    </row>
    <row r="641" spans="8:9" ht="15.75" customHeight="1" x14ac:dyDescent="0.35">
      <c r="H641" s="90"/>
      <c r="I641" s="90"/>
    </row>
    <row r="642" spans="8:9" ht="15.75" customHeight="1" x14ac:dyDescent="0.35">
      <c r="H642" s="90"/>
      <c r="I642" s="90"/>
    </row>
    <row r="643" spans="8:9" ht="15.75" customHeight="1" x14ac:dyDescent="0.35">
      <c r="H643" s="90"/>
      <c r="I643" s="90"/>
    </row>
    <row r="644" spans="8:9" ht="15.75" customHeight="1" x14ac:dyDescent="0.35">
      <c r="H644" s="90"/>
      <c r="I644" s="90"/>
    </row>
    <row r="645" spans="8:9" ht="15.75" customHeight="1" x14ac:dyDescent="0.35">
      <c r="H645" s="90"/>
      <c r="I645" s="90"/>
    </row>
    <row r="646" spans="8:9" ht="15.75" customHeight="1" x14ac:dyDescent="0.35">
      <c r="H646" s="90"/>
      <c r="I646" s="90"/>
    </row>
    <row r="647" spans="8:9" ht="15.75" customHeight="1" x14ac:dyDescent="0.35">
      <c r="H647" s="90"/>
      <c r="I647" s="90"/>
    </row>
    <row r="648" spans="8:9" ht="15.75" customHeight="1" x14ac:dyDescent="0.35">
      <c r="H648" s="90"/>
      <c r="I648" s="90"/>
    </row>
    <row r="649" spans="8:9" ht="15.75" customHeight="1" x14ac:dyDescent="0.35">
      <c r="H649" s="90"/>
      <c r="I649" s="90"/>
    </row>
    <row r="650" spans="8:9" ht="15.75" customHeight="1" x14ac:dyDescent="0.35">
      <c r="H650" s="90"/>
      <c r="I650" s="90"/>
    </row>
    <row r="651" spans="8:9" ht="15.75" customHeight="1" x14ac:dyDescent="0.35">
      <c r="H651" s="90"/>
      <c r="I651" s="90"/>
    </row>
    <row r="652" spans="8:9" ht="15.75" customHeight="1" x14ac:dyDescent="0.35">
      <c r="H652" s="90"/>
      <c r="I652" s="90"/>
    </row>
    <row r="653" spans="8:9" ht="15.75" customHeight="1" x14ac:dyDescent="0.35">
      <c r="H653" s="90"/>
      <c r="I653" s="90"/>
    </row>
    <row r="654" spans="8:9" ht="15.75" customHeight="1" x14ac:dyDescent="0.35">
      <c r="H654" s="90"/>
      <c r="I654" s="90"/>
    </row>
    <row r="655" spans="8:9" ht="15.75" customHeight="1" x14ac:dyDescent="0.35">
      <c r="H655" s="90"/>
      <c r="I655" s="90"/>
    </row>
    <row r="656" spans="8:9" ht="15.75" customHeight="1" x14ac:dyDescent="0.35">
      <c r="H656" s="90"/>
      <c r="I656" s="90"/>
    </row>
    <row r="657" spans="8:9" ht="15.75" customHeight="1" x14ac:dyDescent="0.35">
      <c r="H657" s="90"/>
      <c r="I657" s="90"/>
    </row>
    <row r="658" spans="8:9" ht="15.75" customHeight="1" x14ac:dyDescent="0.35">
      <c r="H658" s="90"/>
      <c r="I658" s="90"/>
    </row>
    <row r="659" spans="8:9" ht="15.75" customHeight="1" x14ac:dyDescent="0.35">
      <c r="H659" s="90"/>
      <c r="I659" s="90"/>
    </row>
    <row r="660" spans="8:9" ht="15.75" customHeight="1" x14ac:dyDescent="0.35">
      <c r="H660" s="90"/>
      <c r="I660" s="90"/>
    </row>
    <row r="661" spans="8:9" ht="15.75" customHeight="1" x14ac:dyDescent="0.35">
      <c r="H661" s="90"/>
      <c r="I661" s="90"/>
    </row>
    <row r="662" spans="8:9" ht="15.75" customHeight="1" x14ac:dyDescent="0.35">
      <c r="H662" s="90"/>
      <c r="I662" s="90"/>
    </row>
    <row r="663" spans="8:9" ht="15.75" customHeight="1" x14ac:dyDescent="0.35">
      <c r="H663" s="90"/>
      <c r="I663" s="90"/>
    </row>
    <row r="664" spans="8:9" ht="15.75" customHeight="1" x14ac:dyDescent="0.35">
      <c r="H664" s="90"/>
      <c r="I664" s="90"/>
    </row>
    <row r="665" spans="8:9" ht="15.75" customHeight="1" x14ac:dyDescent="0.35">
      <c r="H665" s="90"/>
      <c r="I665" s="90"/>
    </row>
    <row r="666" spans="8:9" ht="15.75" customHeight="1" x14ac:dyDescent="0.35">
      <c r="H666" s="90"/>
      <c r="I666" s="90"/>
    </row>
    <row r="667" spans="8:9" ht="15.75" customHeight="1" x14ac:dyDescent="0.35">
      <c r="H667" s="90"/>
      <c r="I667" s="90"/>
    </row>
    <row r="668" spans="8:9" ht="15.75" customHeight="1" x14ac:dyDescent="0.35">
      <c r="H668" s="90"/>
      <c r="I668" s="90"/>
    </row>
    <row r="669" spans="8:9" ht="15.75" customHeight="1" x14ac:dyDescent="0.35">
      <c r="H669" s="90"/>
      <c r="I669" s="90"/>
    </row>
    <row r="670" spans="8:9" ht="15.75" customHeight="1" x14ac:dyDescent="0.35">
      <c r="H670" s="90"/>
      <c r="I670" s="90"/>
    </row>
    <row r="671" spans="8:9" ht="15.75" customHeight="1" x14ac:dyDescent="0.35">
      <c r="H671" s="90"/>
      <c r="I671" s="90"/>
    </row>
    <row r="672" spans="8:9" ht="15.75" customHeight="1" x14ac:dyDescent="0.35">
      <c r="H672" s="90"/>
      <c r="I672" s="90"/>
    </row>
    <row r="673" spans="8:9" ht="15.75" customHeight="1" x14ac:dyDescent="0.35">
      <c r="H673" s="90"/>
      <c r="I673" s="90"/>
    </row>
    <row r="674" spans="8:9" ht="15.75" customHeight="1" x14ac:dyDescent="0.35">
      <c r="H674" s="90"/>
      <c r="I674" s="90"/>
    </row>
    <row r="675" spans="8:9" ht="15.75" customHeight="1" x14ac:dyDescent="0.35">
      <c r="H675" s="90"/>
      <c r="I675" s="90"/>
    </row>
    <row r="676" spans="8:9" ht="15.75" customHeight="1" x14ac:dyDescent="0.35">
      <c r="H676" s="90"/>
      <c r="I676" s="90"/>
    </row>
    <row r="677" spans="8:9" ht="15.75" customHeight="1" x14ac:dyDescent="0.35">
      <c r="H677" s="90"/>
      <c r="I677" s="90"/>
    </row>
    <row r="678" spans="8:9" ht="15.75" customHeight="1" x14ac:dyDescent="0.35">
      <c r="H678" s="90"/>
      <c r="I678" s="90"/>
    </row>
    <row r="679" spans="8:9" ht="15.75" customHeight="1" x14ac:dyDescent="0.35">
      <c r="H679" s="90"/>
      <c r="I679" s="90"/>
    </row>
    <row r="680" spans="8:9" ht="15.75" customHeight="1" x14ac:dyDescent="0.35">
      <c r="H680" s="90"/>
      <c r="I680" s="90"/>
    </row>
    <row r="681" spans="8:9" ht="15.75" customHeight="1" x14ac:dyDescent="0.35">
      <c r="H681" s="90"/>
      <c r="I681" s="90"/>
    </row>
    <row r="682" spans="8:9" ht="15.75" customHeight="1" x14ac:dyDescent="0.35">
      <c r="H682" s="90"/>
      <c r="I682" s="90"/>
    </row>
    <row r="683" spans="8:9" ht="15.75" customHeight="1" x14ac:dyDescent="0.35">
      <c r="H683" s="90"/>
      <c r="I683" s="90"/>
    </row>
    <row r="684" spans="8:9" ht="15.75" customHeight="1" x14ac:dyDescent="0.35">
      <c r="H684" s="90"/>
      <c r="I684" s="90"/>
    </row>
    <row r="685" spans="8:9" ht="15.75" customHeight="1" x14ac:dyDescent="0.35">
      <c r="H685" s="90"/>
      <c r="I685" s="90"/>
    </row>
    <row r="686" spans="8:9" ht="15.75" customHeight="1" x14ac:dyDescent="0.35">
      <c r="H686" s="90"/>
      <c r="I686" s="90"/>
    </row>
    <row r="687" spans="8:9" ht="15.75" customHeight="1" x14ac:dyDescent="0.35">
      <c r="H687" s="90"/>
      <c r="I687" s="90"/>
    </row>
    <row r="688" spans="8:9" ht="15.75" customHeight="1" x14ac:dyDescent="0.35">
      <c r="H688" s="90"/>
      <c r="I688" s="90"/>
    </row>
    <row r="689" spans="8:9" ht="15.75" customHeight="1" x14ac:dyDescent="0.35">
      <c r="H689" s="90"/>
      <c r="I689" s="90"/>
    </row>
    <row r="690" spans="8:9" ht="15.75" customHeight="1" x14ac:dyDescent="0.35">
      <c r="H690" s="90"/>
      <c r="I690" s="90"/>
    </row>
    <row r="691" spans="8:9" ht="15.75" customHeight="1" x14ac:dyDescent="0.35">
      <c r="H691" s="90"/>
      <c r="I691" s="90"/>
    </row>
    <row r="692" spans="8:9" ht="15.75" customHeight="1" x14ac:dyDescent="0.35">
      <c r="H692" s="90"/>
      <c r="I692" s="90"/>
    </row>
    <row r="693" spans="8:9" ht="15.75" customHeight="1" x14ac:dyDescent="0.35">
      <c r="H693" s="90"/>
      <c r="I693" s="90"/>
    </row>
    <row r="694" spans="8:9" ht="15.75" customHeight="1" x14ac:dyDescent="0.35">
      <c r="H694" s="90"/>
      <c r="I694" s="90"/>
    </row>
    <row r="695" spans="8:9" ht="15.75" customHeight="1" x14ac:dyDescent="0.35">
      <c r="H695" s="90"/>
      <c r="I695" s="90"/>
    </row>
    <row r="696" spans="8:9" ht="15.75" customHeight="1" x14ac:dyDescent="0.35">
      <c r="H696" s="90"/>
      <c r="I696" s="90"/>
    </row>
    <row r="697" spans="8:9" ht="15.75" customHeight="1" x14ac:dyDescent="0.35">
      <c r="H697" s="90"/>
      <c r="I697" s="90"/>
    </row>
    <row r="698" spans="8:9" ht="15.75" customHeight="1" x14ac:dyDescent="0.35">
      <c r="H698" s="90"/>
      <c r="I698" s="90"/>
    </row>
    <row r="699" spans="8:9" ht="15.75" customHeight="1" x14ac:dyDescent="0.35">
      <c r="H699" s="90"/>
      <c r="I699" s="90"/>
    </row>
    <row r="700" spans="8:9" ht="15.75" customHeight="1" x14ac:dyDescent="0.35">
      <c r="H700" s="90"/>
      <c r="I700" s="90"/>
    </row>
    <row r="701" spans="8:9" ht="15.75" customHeight="1" x14ac:dyDescent="0.35">
      <c r="H701" s="90"/>
      <c r="I701" s="90"/>
    </row>
    <row r="702" spans="8:9" ht="15.75" customHeight="1" x14ac:dyDescent="0.35">
      <c r="H702" s="90"/>
      <c r="I702" s="90"/>
    </row>
    <row r="703" spans="8:9" ht="15.75" customHeight="1" x14ac:dyDescent="0.35">
      <c r="H703" s="90"/>
      <c r="I703" s="90"/>
    </row>
    <row r="704" spans="8:9" ht="15.75" customHeight="1" x14ac:dyDescent="0.35">
      <c r="H704" s="90"/>
      <c r="I704" s="90"/>
    </row>
    <row r="705" spans="8:9" ht="15.75" customHeight="1" x14ac:dyDescent="0.35">
      <c r="H705" s="90"/>
      <c r="I705" s="90"/>
    </row>
    <row r="706" spans="8:9" ht="15.75" customHeight="1" x14ac:dyDescent="0.35">
      <c r="H706" s="90"/>
      <c r="I706" s="90"/>
    </row>
    <row r="707" spans="8:9" ht="15.75" customHeight="1" x14ac:dyDescent="0.35">
      <c r="H707" s="90"/>
      <c r="I707" s="90"/>
    </row>
    <row r="708" spans="8:9" ht="15.75" customHeight="1" x14ac:dyDescent="0.35">
      <c r="H708" s="90"/>
      <c r="I708" s="90"/>
    </row>
    <row r="709" spans="8:9" ht="15.75" customHeight="1" x14ac:dyDescent="0.35">
      <c r="H709" s="90"/>
      <c r="I709" s="90"/>
    </row>
    <row r="710" spans="8:9" ht="15.75" customHeight="1" x14ac:dyDescent="0.35">
      <c r="H710" s="90"/>
      <c r="I710" s="90"/>
    </row>
    <row r="711" spans="8:9" ht="15.75" customHeight="1" x14ac:dyDescent="0.35">
      <c r="H711" s="90"/>
      <c r="I711" s="90"/>
    </row>
    <row r="712" spans="8:9" ht="15.75" customHeight="1" x14ac:dyDescent="0.35">
      <c r="H712" s="90"/>
      <c r="I712" s="90"/>
    </row>
    <row r="713" spans="8:9" ht="15.75" customHeight="1" x14ac:dyDescent="0.35">
      <c r="H713" s="90"/>
      <c r="I713" s="90"/>
    </row>
    <row r="714" spans="8:9" ht="15.75" customHeight="1" x14ac:dyDescent="0.35">
      <c r="H714" s="90"/>
      <c r="I714" s="90"/>
    </row>
    <row r="715" spans="8:9" ht="15.75" customHeight="1" x14ac:dyDescent="0.35">
      <c r="H715" s="90"/>
      <c r="I715" s="90"/>
    </row>
    <row r="716" spans="8:9" ht="15.75" customHeight="1" x14ac:dyDescent="0.35">
      <c r="H716" s="90"/>
      <c r="I716" s="90"/>
    </row>
    <row r="717" spans="8:9" ht="15.75" customHeight="1" x14ac:dyDescent="0.35">
      <c r="H717" s="90"/>
      <c r="I717" s="90"/>
    </row>
    <row r="718" spans="8:9" ht="15.75" customHeight="1" x14ac:dyDescent="0.35">
      <c r="H718" s="90"/>
      <c r="I718" s="90"/>
    </row>
    <row r="719" spans="8:9" ht="15.75" customHeight="1" x14ac:dyDescent="0.35">
      <c r="H719" s="90"/>
      <c r="I719" s="90"/>
    </row>
    <row r="720" spans="8:9" ht="15.75" customHeight="1" x14ac:dyDescent="0.35">
      <c r="H720" s="90"/>
      <c r="I720" s="90"/>
    </row>
    <row r="721" spans="8:9" ht="15.75" customHeight="1" x14ac:dyDescent="0.35">
      <c r="H721" s="90"/>
      <c r="I721" s="90"/>
    </row>
    <row r="722" spans="8:9" ht="15.75" customHeight="1" x14ac:dyDescent="0.35">
      <c r="H722" s="90"/>
      <c r="I722" s="90"/>
    </row>
    <row r="723" spans="8:9" ht="15.75" customHeight="1" x14ac:dyDescent="0.35">
      <c r="H723" s="90"/>
      <c r="I723" s="90"/>
    </row>
    <row r="724" spans="8:9" ht="15.75" customHeight="1" x14ac:dyDescent="0.35">
      <c r="H724" s="90"/>
      <c r="I724" s="90"/>
    </row>
    <row r="725" spans="8:9" ht="15.75" customHeight="1" x14ac:dyDescent="0.35">
      <c r="H725" s="90"/>
      <c r="I725" s="90"/>
    </row>
    <row r="726" spans="8:9" ht="15.75" customHeight="1" x14ac:dyDescent="0.35">
      <c r="H726" s="90"/>
      <c r="I726" s="90"/>
    </row>
    <row r="727" spans="8:9" ht="15.75" customHeight="1" x14ac:dyDescent="0.35">
      <c r="H727" s="90"/>
      <c r="I727" s="90"/>
    </row>
    <row r="728" spans="8:9" ht="15.75" customHeight="1" x14ac:dyDescent="0.35">
      <c r="H728" s="90"/>
      <c r="I728" s="90"/>
    </row>
    <row r="729" spans="8:9" ht="15.75" customHeight="1" x14ac:dyDescent="0.35">
      <c r="H729" s="90"/>
      <c r="I729" s="90"/>
    </row>
    <row r="730" spans="8:9" ht="15.75" customHeight="1" x14ac:dyDescent="0.35">
      <c r="H730" s="90"/>
      <c r="I730" s="90"/>
    </row>
    <row r="731" spans="8:9" ht="15.75" customHeight="1" x14ac:dyDescent="0.35">
      <c r="H731" s="90"/>
      <c r="I731" s="90"/>
    </row>
    <row r="732" spans="8:9" ht="15.75" customHeight="1" x14ac:dyDescent="0.35">
      <c r="H732" s="90"/>
      <c r="I732" s="90"/>
    </row>
    <row r="733" spans="8:9" ht="15.75" customHeight="1" x14ac:dyDescent="0.35">
      <c r="H733" s="90"/>
      <c r="I733" s="90"/>
    </row>
    <row r="734" spans="8:9" ht="15.75" customHeight="1" x14ac:dyDescent="0.35">
      <c r="H734" s="90"/>
      <c r="I734" s="90"/>
    </row>
    <row r="735" spans="8:9" ht="15.75" customHeight="1" x14ac:dyDescent="0.35">
      <c r="H735" s="90"/>
      <c r="I735" s="90"/>
    </row>
    <row r="736" spans="8:9" ht="15.75" customHeight="1" x14ac:dyDescent="0.35">
      <c r="H736" s="90"/>
      <c r="I736" s="90"/>
    </row>
    <row r="737" spans="8:9" ht="15.75" customHeight="1" x14ac:dyDescent="0.35">
      <c r="H737" s="90"/>
      <c r="I737" s="90"/>
    </row>
    <row r="738" spans="8:9" ht="15.75" customHeight="1" x14ac:dyDescent="0.35">
      <c r="H738" s="90"/>
      <c r="I738" s="90"/>
    </row>
    <row r="739" spans="8:9" ht="15.75" customHeight="1" x14ac:dyDescent="0.35">
      <c r="H739" s="90"/>
      <c r="I739" s="90"/>
    </row>
    <row r="740" spans="8:9" ht="15.75" customHeight="1" x14ac:dyDescent="0.35">
      <c r="H740" s="90"/>
      <c r="I740" s="90"/>
    </row>
    <row r="741" spans="8:9" ht="15.75" customHeight="1" x14ac:dyDescent="0.35">
      <c r="H741" s="90"/>
      <c r="I741" s="90"/>
    </row>
    <row r="742" spans="8:9" ht="15.75" customHeight="1" x14ac:dyDescent="0.35">
      <c r="H742" s="90"/>
      <c r="I742" s="90"/>
    </row>
    <row r="743" spans="8:9" ht="15.75" customHeight="1" x14ac:dyDescent="0.35">
      <c r="H743" s="90"/>
      <c r="I743" s="90"/>
    </row>
    <row r="744" spans="8:9" ht="15.75" customHeight="1" x14ac:dyDescent="0.35">
      <c r="H744" s="90"/>
      <c r="I744" s="90"/>
    </row>
    <row r="745" spans="8:9" ht="15.75" customHeight="1" x14ac:dyDescent="0.35">
      <c r="H745" s="90"/>
      <c r="I745" s="90"/>
    </row>
    <row r="746" spans="8:9" ht="15.75" customHeight="1" x14ac:dyDescent="0.35">
      <c r="H746" s="90"/>
      <c r="I746" s="90"/>
    </row>
    <row r="747" spans="8:9" ht="15.75" customHeight="1" x14ac:dyDescent="0.35">
      <c r="H747" s="90"/>
      <c r="I747" s="90"/>
    </row>
    <row r="748" spans="8:9" ht="15.75" customHeight="1" x14ac:dyDescent="0.35">
      <c r="H748" s="90"/>
      <c r="I748" s="90"/>
    </row>
    <row r="749" spans="8:9" ht="15.75" customHeight="1" x14ac:dyDescent="0.35">
      <c r="H749" s="90"/>
      <c r="I749" s="90"/>
    </row>
    <row r="750" spans="8:9" ht="15.75" customHeight="1" x14ac:dyDescent="0.35">
      <c r="H750" s="90"/>
      <c r="I750" s="90"/>
    </row>
    <row r="751" spans="8:9" ht="15.75" customHeight="1" x14ac:dyDescent="0.35">
      <c r="H751" s="90"/>
      <c r="I751" s="90"/>
    </row>
    <row r="752" spans="8:9" ht="15.75" customHeight="1" x14ac:dyDescent="0.35">
      <c r="H752" s="90"/>
      <c r="I752" s="90"/>
    </row>
    <row r="753" spans="8:9" ht="15.75" customHeight="1" x14ac:dyDescent="0.35">
      <c r="H753" s="90"/>
      <c r="I753" s="90"/>
    </row>
    <row r="754" spans="8:9" ht="15.75" customHeight="1" x14ac:dyDescent="0.35">
      <c r="H754" s="90"/>
      <c r="I754" s="90"/>
    </row>
    <row r="755" spans="8:9" ht="15.75" customHeight="1" x14ac:dyDescent="0.35">
      <c r="H755" s="90"/>
      <c r="I755" s="90"/>
    </row>
    <row r="756" spans="8:9" ht="15.75" customHeight="1" x14ac:dyDescent="0.35">
      <c r="H756" s="90"/>
      <c r="I756" s="90"/>
    </row>
    <row r="757" spans="8:9" ht="15.75" customHeight="1" x14ac:dyDescent="0.35">
      <c r="H757" s="90"/>
      <c r="I757" s="90"/>
    </row>
    <row r="758" spans="8:9" ht="15.75" customHeight="1" x14ac:dyDescent="0.35">
      <c r="H758" s="90"/>
      <c r="I758" s="90"/>
    </row>
    <row r="759" spans="8:9" ht="15.75" customHeight="1" x14ac:dyDescent="0.35">
      <c r="H759" s="90"/>
      <c r="I759" s="90"/>
    </row>
    <row r="760" spans="8:9" ht="15.75" customHeight="1" x14ac:dyDescent="0.35">
      <c r="H760" s="90"/>
      <c r="I760" s="90"/>
    </row>
    <row r="761" spans="8:9" ht="15.75" customHeight="1" x14ac:dyDescent="0.35">
      <c r="H761" s="90"/>
      <c r="I761" s="90"/>
    </row>
    <row r="762" spans="8:9" ht="15.75" customHeight="1" x14ac:dyDescent="0.35">
      <c r="H762" s="90"/>
      <c r="I762" s="90"/>
    </row>
    <row r="763" spans="8:9" ht="15.75" customHeight="1" x14ac:dyDescent="0.35">
      <c r="H763" s="90"/>
      <c r="I763" s="90"/>
    </row>
    <row r="764" spans="8:9" ht="15.75" customHeight="1" x14ac:dyDescent="0.35">
      <c r="H764" s="90"/>
      <c r="I764" s="90"/>
    </row>
    <row r="765" spans="8:9" ht="15.75" customHeight="1" x14ac:dyDescent="0.35">
      <c r="H765" s="90"/>
      <c r="I765" s="90"/>
    </row>
    <row r="766" spans="8:9" ht="15.75" customHeight="1" x14ac:dyDescent="0.35">
      <c r="H766" s="90"/>
      <c r="I766" s="90"/>
    </row>
    <row r="767" spans="8:9" ht="15.75" customHeight="1" x14ac:dyDescent="0.35">
      <c r="H767" s="90"/>
      <c r="I767" s="90"/>
    </row>
    <row r="768" spans="8:9" ht="15.75" customHeight="1" x14ac:dyDescent="0.35">
      <c r="H768" s="90"/>
      <c r="I768" s="90"/>
    </row>
    <row r="769" spans="8:9" ht="15.75" customHeight="1" x14ac:dyDescent="0.35">
      <c r="H769" s="90"/>
      <c r="I769" s="90"/>
    </row>
    <row r="770" spans="8:9" ht="15.75" customHeight="1" x14ac:dyDescent="0.35">
      <c r="H770" s="90"/>
      <c r="I770" s="90"/>
    </row>
    <row r="771" spans="8:9" ht="15.75" customHeight="1" x14ac:dyDescent="0.35">
      <c r="H771" s="90"/>
      <c r="I771" s="90"/>
    </row>
    <row r="772" spans="8:9" ht="15.75" customHeight="1" x14ac:dyDescent="0.35">
      <c r="H772" s="90"/>
      <c r="I772" s="90"/>
    </row>
    <row r="773" spans="8:9" ht="15.75" customHeight="1" x14ac:dyDescent="0.35">
      <c r="H773" s="90"/>
      <c r="I773" s="90"/>
    </row>
    <row r="774" spans="8:9" ht="15.75" customHeight="1" x14ac:dyDescent="0.35">
      <c r="H774" s="90"/>
      <c r="I774" s="90"/>
    </row>
    <row r="775" spans="8:9" ht="15.75" customHeight="1" x14ac:dyDescent="0.35">
      <c r="H775" s="90"/>
      <c r="I775" s="90"/>
    </row>
    <row r="776" spans="8:9" ht="15.75" customHeight="1" x14ac:dyDescent="0.35">
      <c r="H776" s="90"/>
      <c r="I776" s="90"/>
    </row>
    <row r="777" spans="8:9" ht="15.75" customHeight="1" x14ac:dyDescent="0.35">
      <c r="H777" s="90"/>
      <c r="I777" s="90"/>
    </row>
    <row r="778" spans="8:9" ht="15.75" customHeight="1" x14ac:dyDescent="0.35">
      <c r="H778" s="90"/>
      <c r="I778" s="90"/>
    </row>
    <row r="779" spans="8:9" ht="15.75" customHeight="1" x14ac:dyDescent="0.35">
      <c r="H779" s="90"/>
      <c r="I779" s="90"/>
    </row>
    <row r="780" spans="8:9" ht="15.75" customHeight="1" x14ac:dyDescent="0.35">
      <c r="H780" s="90"/>
      <c r="I780" s="90"/>
    </row>
    <row r="781" spans="8:9" ht="15.75" customHeight="1" x14ac:dyDescent="0.35">
      <c r="H781" s="90"/>
      <c r="I781" s="90"/>
    </row>
    <row r="782" spans="8:9" ht="15.75" customHeight="1" x14ac:dyDescent="0.35">
      <c r="H782" s="90"/>
      <c r="I782" s="90"/>
    </row>
    <row r="783" spans="8:9" ht="15.75" customHeight="1" x14ac:dyDescent="0.35">
      <c r="H783" s="90"/>
      <c r="I783" s="90"/>
    </row>
    <row r="784" spans="8:9" ht="15.75" customHeight="1" x14ac:dyDescent="0.35">
      <c r="H784" s="90"/>
      <c r="I784" s="90"/>
    </row>
    <row r="785" spans="8:9" ht="15.75" customHeight="1" x14ac:dyDescent="0.35">
      <c r="H785" s="90"/>
      <c r="I785" s="90"/>
    </row>
    <row r="786" spans="8:9" ht="15.75" customHeight="1" x14ac:dyDescent="0.35">
      <c r="H786" s="90"/>
      <c r="I786" s="90"/>
    </row>
    <row r="787" spans="8:9" ht="15.75" customHeight="1" x14ac:dyDescent="0.35">
      <c r="H787" s="90"/>
      <c r="I787" s="90"/>
    </row>
    <row r="788" spans="8:9" ht="15.75" customHeight="1" x14ac:dyDescent="0.35">
      <c r="H788" s="90"/>
      <c r="I788" s="90"/>
    </row>
    <row r="789" spans="8:9" ht="15.75" customHeight="1" x14ac:dyDescent="0.35">
      <c r="H789" s="90"/>
      <c r="I789" s="90"/>
    </row>
    <row r="790" spans="8:9" ht="15.75" customHeight="1" x14ac:dyDescent="0.35">
      <c r="H790" s="90"/>
      <c r="I790" s="90"/>
    </row>
    <row r="791" spans="8:9" ht="15.75" customHeight="1" x14ac:dyDescent="0.35">
      <c r="H791" s="90"/>
      <c r="I791" s="90"/>
    </row>
    <row r="792" spans="8:9" ht="15.75" customHeight="1" x14ac:dyDescent="0.35">
      <c r="H792" s="90"/>
      <c r="I792" s="90"/>
    </row>
    <row r="793" spans="8:9" ht="15.75" customHeight="1" x14ac:dyDescent="0.35">
      <c r="H793" s="90"/>
      <c r="I793" s="90"/>
    </row>
    <row r="794" spans="8:9" ht="15.75" customHeight="1" x14ac:dyDescent="0.35">
      <c r="H794" s="90"/>
      <c r="I794" s="90"/>
    </row>
    <row r="795" spans="8:9" ht="15.75" customHeight="1" x14ac:dyDescent="0.35">
      <c r="H795" s="90"/>
      <c r="I795" s="90"/>
    </row>
    <row r="796" spans="8:9" ht="15.75" customHeight="1" x14ac:dyDescent="0.35">
      <c r="H796" s="90"/>
      <c r="I796" s="90"/>
    </row>
    <row r="797" spans="8:9" ht="15.75" customHeight="1" x14ac:dyDescent="0.35">
      <c r="H797" s="90"/>
      <c r="I797" s="90"/>
    </row>
    <row r="798" spans="8:9" ht="15.75" customHeight="1" x14ac:dyDescent="0.35">
      <c r="H798" s="90"/>
      <c r="I798" s="90"/>
    </row>
    <row r="799" spans="8:9" ht="15.75" customHeight="1" x14ac:dyDescent="0.35">
      <c r="H799" s="90"/>
      <c r="I799" s="90"/>
    </row>
    <row r="800" spans="8:9" ht="15.75" customHeight="1" x14ac:dyDescent="0.35">
      <c r="H800" s="90"/>
      <c r="I800" s="90"/>
    </row>
    <row r="801" spans="8:9" ht="15.75" customHeight="1" x14ac:dyDescent="0.35">
      <c r="H801" s="90"/>
      <c r="I801" s="90"/>
    </row>
    <row r="802" spans="8:9" ht="15.75" customHeight="1" x14ac:dyDescent="0.35">
      <c r="H802" s="90"/>
      <c r="I802" s="90"/>
    </row>
    <row r="803" spans="8:9" ht="15.75" customHeight="1" x14ac:dyDescent="0.35">
      <c r="H803" s="90"/>
      <c r="I803" s="90"/>
    </row>
    <row r="804" spans="8:9" ht="15.75" customHeight="1" x14ac:dyDescent="0.35">
      <c r="H804" s="90"/>
      <c r="I804" s="90"/>
    </row>
    <row r="805" spans="8:9" ht="15.75" customHeight="1" x14ac:dyDescent="0.35">
      <c r="H805" s="90"/>
      <c r="I805" s="90"/>
    </row>
    <row r="806" spans="8:9" ht="15.75" customHeight="1" x14ac:dyDescent="0.35">
      <c r="H806" s="90"/>
      <c r="I806" s="90"/>
    </row>
    <row r="807" spans="8:9" ht="15.75" customHeight="1" x14ac:dyDescent="0.35">
      <c r="H807" s="90"/>
      <c r="I807" s="90"/>
    </row>
    <row r="808" spans="8:9" ht="15.75" customHeight="1" x14ac:dyDescent="0.35">
      <c r="H808" s="90"/>
      <c r="I808" s="90"/>
    </row>
    <row r="809" spans="8:9" ht="15.75" customHeight="1" x14ac:dyDescent="0.35">
      <c r="H809" s="90"/>
      <c r="I809" s="90"/>
    </row>
    <row r="810" spans="8:9" ht="15.75" customHeight="1" x14ac:dyDescent="0.35">
      <c r="H810" s="90"/>
      <c r="I810" s="90"/>
    </row>
    <row r="811" spans="8:9" ht="15.75" customHeight="1" x14ac:dyDescent="0.35">
      <c r="H811" s="90"/>
      <c r="I811" s="90"/>
    </row>
    <row r="812" spans="8:9" ht="15.75" customHeight="1" x14ac:dyDescent="0.35">
      <c r="H812" s="90"/>
      <c r="I812" s="90"/>
    </row>
    <row r="813" spans="8:9" ht="15.75" customHeight="1" x14ac:dyDescent="0.35">
      <c r="H813" s="90"/>
      <c r="I813" s="90"/>
    </row>
    <row r="814" spans="8:9" ht="15.75" customHeight="1" x14ac:dyDescent="0.35">
      <c r="H814" s="90"/>
      <c r="I814" s="90"/>
    </row>
    <row r="815" spans="8:9" ht="15.75" customHeight="1" x14ac:dyDescent="0.35">
      <c r="H815" s="90"/>
      <c r="I815" s="90"/>
    </row>
    <row r="816" spans="8:9" ht="15.75" customHeight="1" x14ac:dyDescent="0.35">
      <c r="H816" s="90"/>
      <c r="I816" s="90"/>
    </row>
    <row r="817" spans="8:9" ht="15.75" customHeight="1" x14ac:dyDescent="0.35">
      <c r="H817" s="90"/>
      <c r="I817" s="90"/>
    </row>
    <row r="818" spans="8:9" ht="15.75" customHeight="1" x14ac:dyDescent="0.35">
      <c r="H818" s="90"/>
      <c r="I818" s="90"/>
    </row>
    <row r="819" spans="8:9" ht="15.75" customHeight="1" x14ac:dyDescent="0.35">
      <c r="H819" s="90"/>
      <c r="I819" s="90"/>
    </row>
    <row r="820" spans="8:9" ht="15.75" customHeight="1" x14ac:dyDescent="0.35">
      <c r="H820" s="90"/>
      <c r="I820" s="90"/>
    </row>
    <row r="821" spans="8:9" ht="15.75" customHeight="1" x14ac:dyDescent="0.35">
      <c r="H821" s="90"/>
      <c r="I821" s="90"/>
    </row>
    <row r="822" spans="8:9" ht="15.75" customHeight="1" x14ac:dyDescent="0.35">
      <c r="H822" s="90"/>
      <c r="I822" s="90"/>
    </row>
    <row r="823" spans="8:9" ht="15.75" customHeight="1" x14ac:dyDescent="0.35">
      <c r="H823" s="90"/>
      <c r="I823" s="90"/>
    </row>
    <row r="824" spans="8:9" ht="15.75" customHeight="1" x14ac:dyDescent="0.35">
      <c r="H824" s="90"/>
      <c r="I824" s="90"/>
    </row>
    <row r="825" spans="8:9" ht="15.75" customHeight="1" x14ac:dyDescent="0.35">
      <c r="H825" s="90"/>
      <c r="I825" s="90"/>
    </row>
    <row r="826" spans="8:9" ht="15.75" customHeight="1" x14ac:dyDescent="0.35">
      <c r="H826" s="90"/>
      <c r="I826" s="90"/>
    </row>
    <row r="827" spans="8:9" ht="15.75" customHeight="1" x14ac:dyDescent="0.35">
      <c r="H827" s="90"/>
      <c r="I827" s="90"/>
    </row>
    <row r="828" spans="8:9" ht="15.75" customHeight="1" x14ac:dyDescent="0.35">
      <c r="H828" s="90"/>
      <c r="I828" s="90"/>
    </row>
    <row r="829" spans="8:9" ht="15.75" customHeight="1" x14ac:dyDescent="0.35">
      <c r="H829" s="90"/>
      <c r="I829" s="90"/>
    </row>
    <row r="830" spans="8:9" ht="15.75" customHeight="1" x14ac:dyDescent="0.35">
      <c r="H830" s="90"/>
      <c r="I830" s="90"/>
    </row>
    <row r="831" spans="8:9" ht="15.75" customHeight="1" x14ac:dyDescent="0.35">
      <c r="H831" s="90"/>
      <c r="I831" s="90"/>
    </row>
    <row r="832" spans="8:9" ht="15.75" customHeight="1" x14ac:dyDescent="0.35">
      <c r="H832" s="90"/>
      <c r="I832" s="90"/>
    </row>
    <row r="833" spans="8:9" ht="15.75" customHeight="1" x14ac:dyDescent="0.35">
      <c r="H833" s="90"/>
      <c r="I833" s="90"/>
    </row>
    <row r="834" spans="8:9" ht="15.75" customHeight="1" x14ac:dyDescent="0.35">
      <c r="H834" s="90"/>
      <c r="I834" s="90"/>
    </row>
    <row r="835" spans="8:9" ht="15.75" customHeight="1" x14ac:dyDescent="0.35">
      <c r="H835" s="90"/>
      <c r="I835" s="90"/>
    </row>
    <row r="836" spans="8:9" ht="15.75" customHeight="1" x14ac:dyDescent="0.35">
      <c r="H836" s="90"/>
      <c r="I836" s="90"/>
    </row>
    <row r="837" spans="8:9" ht="15.75" customHeight="1" x14ac:dyDescent="0.35">
      <c r="H837" s="90"/>
      <c r="I837" s="90"/>
    </row>
    <row r="838" spans="8:9" ht="15.75" customHeight="1" x14ac:dyDescent="0.35">
      <c r="H838" s="90"/>
      <c r="I838" s="90"/>
    </row>
    <row r="839" spans="8:9" ht="15.75" customHeight="1" x14ac:dyDescent="0.35">
      <c r="H839" s="90"/>
      <c r="I839" s="90"/>
    </row>
    <row r="840" spans="8:9" ht="15.75" customHeight="1" x14ac:dyDescent="0.35">
      <c r="H840" s="90"/>
      <c r="I840" s="90"/>
    </row>
    <row r="841" spans="8:9" ht="15.75" customHeight="1" x14ac:dyDescent="0.35">
      <c r="H841" s="90"/>
      <c r="I841" s="90"/>
    </row>
    <row r="842" spans="8:9" ht="15.75" customHeight="1" x14ac:dyDescent="0.35">
      <c r="H842" s="90"/>
      <c r="I842" s="90"/>
    </row>
    <row r="843" spans="8:9" ht="15.75" customHeight="1" x14ac:dyDescent="0.35">
      <c r="H843" s="90"/>
      <c r="I843" s="90"/>
    </row>
    <row r="844" spans="8:9" ht="15.75" customHeight="1" x14ac:dyDescent="0.35">
      <c r="H844" s="90"/>
      <c r="I844" s="90"/>
    </row>
    <row r="845" spans="8:9" ht="15.75" customHeight="1" x14ac:dyDescent="0.35">
      <c r="H845" s="90"/>
      <c r="I845" s="90"/>
    </row>
    <row r="846" spans="8:9" ht="15.75" customHeight="1" x14ac:dyDescent="0.35">
      <c r="H846" s="90"/>
      <c r="I846" s="90"/>
    </row>
    <row r="847" spans="8:9" ht="15.75" customHeight="1" x14ac:dyDescent="0.35">
      <c r="H847" s="90"/>
      <c r="I847" s="90"/>
    </row>
    <row r="848" spans="8:9" ht="15.75" customHeight="1" x14ac:dyDescent="0.35">
      <c r="H848" s="90"/>
      <c r="I848" s="90"/>
    </row>
    <row r="849" spans="8:9" ht="15.75" customHeight="1" x14ac:dyDescent="0.35">
      <c r="H849" s="90"/>
      <c r="I849" s="90"/>
    </row>
    <row r="850" spans="8:9" ht="15.75" customHeight="1" x14ac:dyDescent="0.35">
      <c r="H850" s="90"/>
      <c r="I850" s="90"/>
    </row>
    <row r="851" spans="8:9" ht="15.75" customHeight="1" x14ac:dyDescent="0.35">
      <c r="H851" s="90"/>
      <c r="I851" s="90"/>
    </row>
    <row r="852" spans="8:9" ht="15.75" customHeight="1" x14ac:dyDescent="0.35">
      <c r="H852" s="90"/>
      <c r="I852" s="90"/>
    </row>
    <row r="853" spans="8:9" ht="15.75" customHeight="1" x14ac:dyDescent="0.35">
      <c r="H853" s="90"/>
      <c r="I853" s="90"/>
    </row>
    <row r="854" spans="8:9" ht="15.75" customHeight="1" x14ac:dyDescent="0.35">
      <c r="H854" s="90"/>
      <c r="I854" s="90"/>
    </row>
    <row r="855" spans="8:9" ht="15.75" customHeight="1" x14ac:dyDescent="0.35">
      <c r="H855" s="90"/>
      <c r="I855" s="90"/>
    </row>
    <row r="856" spans="8:9" ht="15.75" customHeight="1" x14ac:dyDescent="0.35">
      <c r="H856" s="90"/>
      <c r="I856" s="90"/>
    </row>
    <row r="857" spans="8:9" ht="15.75" customHeight="1" x14ac:dyDescent="0.35">
      <c r="H857" s="90"/>
      <c r="I857" s="90"/>
    </row>
    <row r="858" spans="8:9" ht="15.75" customHeight="1" x14ac:dyDescent="0.35">
      <c r="H858" s="90"/>
      <c r="I858" s="90"/>
    </row>
    <row r="859" spans="8:9" ht="15.75" customHeight="1" x14ac:dyDescent="0.35">
      <c r="H859" s="90"/>
      <c r="I859" s="90"/>
    </row>
    <row r="860" spans="8:9" ht="15.75" customHeight="1" x14ac:dyDescent="0.35">
      <c r="H860" s="90"/>
      <c r="I860" s="90"/>
    </row>
    <row r="861" spans="8:9" ht="15.75" customHeight="1" x14ac:dyDescent="0.35">
      <c r="H861" s="90"/>
      <c r="I861" s="90"/>
    </row>
    <row r="862" spans="8:9" ht="15.75" customHeight="1" x14ac:dyDescent="0.35">
      <c r="H862" s="90"/>
      <c r="I862" s="90"/>
    </row>
    <row r="863" spans="8:9" ht="15.75" customHeight="1" x14ac:dyDescent="0.35">
      <c r="H863" s="90"/>
      <c r="I863" s="90"/>
    </row>
    <row r="864" spans="8:9" ht="15.75" customHeight="1" x14ac:dyDescent="0.35">
      <c r="H864" s="90"/>
      <c r="I864" s="90"/>
    </row>
    <row r="865" spans="8:9" ht="15.75" customHeight="1" x14ac:dyDescent="0.35">
      <c r="H865" s="90"/>
      <c r="I865" s="90"/>
    </row>
    <row r="866" spans="8:9" ht="15.75" customHeight="1" x14ac:dyDescent="0.35">
      <c r="H866" s="90"/>
      <c r="I866" s="90"/>
    </row>
    <row r="867" spans="8:9" ht="15.75" customHeight="1" x14ac:dyDescent="0.35">
      <c r="H867" s="90"/>
      <c r="I867" s="90"/>
    </row>
    <row r="868" spans="8:9" ht="15.75" customHeight="1" x14ac:dyDescent="0.35">
      <c r="H868" s="90"/>
      <c r="I868" s="90"/>
    </row>
    <row r="869" spans="8:9" ht="15.75" customHeight="1" x14ac:dyDescent="0.35">
      <c r="H869" s="90"/>
      <c r="I869" s="90"/>
    </row>
    <row r="870" spans="8:9" ht="15.75" customHeight="1" x14ac:dyDescent="0.35">
      <c r="H870" s="90"/>
      <c r="I870" s="90"/>
    </row>
    <row r="871" spans="8:9" ht="15.75" customHeight="1" x14ac:dyDescent="0.35">
      <c r="H871" s="90"/>
      <c r="I871" s="90"/>
    </row>
    <row r="872" spans="8:9" ht="15.75" customHeight="1" x14ac:dyDescent="0.35">
      <c r="H872" s="90"/>
      <c r="I872" s="90"/>
    </row>
    <row r="873" spans="8:9" ht="15.75" customHeight="1" x14ac:dyDescent="0.35">
      <c r="H873" s="90"/>
      <c r="I873" s="90"/>
    </row>
    <row r="874" spans="8:9" ht="15.75" customHeight="1" x14ac:dyDescent="0.35">
      <c r="H874" s="90"/>
      <c r="I874" s="90"/>
    </row>
    <row r="875" spans="8:9" ht="15.75" customHeight="1" x14ac:dyDescent="0.35">
      <c r="H875" s="90"/>
      <c r="I875" s="90"/>
    </row>
    <row r="876" spans="8:9" ht="15.75" customHeight="1" x14ac:dyDescent="0.35">
      <c r="H876" s="90"/>
      <c r="I876" s="90"/>
    </row>
    <row r="877" spans="8:9" ht="15.75" customHeight="1" x14ac:dyDescent="0.35">
      <c r="H877" s="90"/>
      <c r="I877" s="90"/>
    </row>
    <row r="878" spans="8:9" ht="15.75" customHeight="1" x14ac:dyDescent="0.35">
      <c r="H878" s="90"/>
      <c r="I878" s="90"/>
    </row>
    <row r="879" spans="8:9" ht="15.75" customHeight="1" x14ac:dyDescent="0.35">
      <c r="H879" s="90"/>
      <c r="I879" s="90"/>
    </row>
    <row r="880" spans="8:9" ht="15.75" customHeight="1" x14ac:dyDescent="0.35">
      <c r="H880" s="90"/>
      <c r="I880" s="90"/>
    </row>
    <row r="881" spans="8:9" ht="15.75" customHeight="1" x14ac:dyDescent="0.35">
      <c r="H881" s="90"/>
      <c r="I881" s="90"/>
    </row>
    <row r="882" spans="8:9" ht="15.75" customHeight="1" x14ac:dyDescent="0.35">
      <c r="H882" s="90"/>
      <c r="I882" s="90"/>
    </row>
    <row r="883" spans="8:9" ht="15.75" customHeight="1" x14ac:dyDescent="0.35">
      <c r="H883" s="90"/>
      <c r="I883" s="90"/>
    </row>
    <row r="884" spans="8:9" ht="15.75" customHeight="1" x14ac:dyDescent="0.35">
      <c r="H884" s="90"/>
      <c r="I884" s="90"/>
    </row>
    <row r="885" spans="8:9" ht="15.75" customHeight="1" x14ac:dyDescent="0.35">
      <c r="H885" s="90"/>
      <c r="I885" s="90"/>
    </row>
    <row r="886" spans="8:9" ht="15.75" customHeight="1" x14ac:dyDescent="0.35">
      <c r="H886" s="90"/>
      <c r="I886" s="90"/>
    </row>
    <row r="887" spans="8:9" ht="15.75" customHeight="1" x14ac:dyDescent="0.35">
      <c r="H887" s="90"/>
      <c r="I887" s="90"/>
    </row>
    <row r="888" spans="8:9" ht="15.75" customHeight="1" x14ac:dyDescent="0.35">
      <c r="H888" s="90"/>
      <c r="I888" s="90"/>
    </row>
    <row r="889" spans="8:9" ht="15.75" customHeight="1" x14ac:dyDescent="0.35">
      <c r="H889" s="90"/>
      <c r="I889" s="90"/>
    </row>
    <row r="890" spans="8:9" ht="15.75" customHeight="1" x14ac:dyDescent="0.35">
      <c r="H890" s="90"/>
      <c r="I890" s="90"/>
    </row>
    <row r="891" spans="8:9" ht="15.75" customHeight="1" x14ac:dyDescent="0.35">
      <c r="H891" s="90"/>
      <c r="I891" s="90"/>
    </row>
    <row r="892" spans="8:9" ht="15.75" customHeight="1" x14ac:dyDescent="0.35">
      <c r="H892" s="90"/>
      <c r="I892" s="90"/>
    </row>
    <row r="893" spans="8:9" ht="15.75" customHeight="1" x14ac:dyDescent="0.35">
      <c r="H893" s="90"/>
      <c r="I893" s="90"/>
    </row>
    <row r="894" spans="8:9" ht="15.75" customHeight="1" x14ac:dyDescent="0.35">
      <c r="H894" s="90"/>
      <c r="I894" s="90"/>
    </row>
    <row r="895" spans="8:9" ht="15.75" customHeight="1" x14ac:dyDescent="0.35">
      <c r="H895" s="90"/>
      <c r="I895" s="90"/>
    </row>
    <row r="896" spans="8:9" ht="15.75" customHeight="1" x14ac:dyDescent="0.35">
      <c r="H896" s="90"/>
      <c r="I896" s="90"/>
    </row>
    <row r="897" spans="8:9" ht="15.75" customHeight="1" x14ac:dyDescent="0.35">
      <c r="H897" s="90"/>
      <c r="I897" s="90"/>
    </row>
    <row r="898" spans="8:9" ht="15.75" customHeight="1" x14ac:dyDescent="0.35">
      <c r="H898" s="90"/>
      <c r="I898" s="90"/>
    </row>
    <row r="899" spans="8:9" ht="15.75" customHeight="1" x14ac:dyDescent="0.35">
      <c r="H899" s="90"/>
      <c r="I899" s="90"/>
    </row>
    <row r="900" spans="8:9" ht="15.75" customHeight="1" x14ac:dyDescent="0.35">
      <c r="H900" s="90"/>
      <c r="I900" s="90"/>
    </row>
    <row r="901" spans="8:9" ht="15.75" customHeight="1" x14ac:dyDescent="0.35">
      <c r="H901" s="90"/>
      <c r="I901" s="90"/>
    </row>
    <row r="902" spans="8:9" ht="15.75" customHeight="1" x14ac:dyDescent="0.35">
      <c r="H902" s="90"/>
      <c r="I902" s="90"/>
    </row>
    <row r="903" spans="8:9" ht="15.75" customHeight="1" x14ac:dyDescent="0.35">
      <c r="H903" s="90"/>
      <c r="I903" s="90"/>
    </row>
    <row r="904" spans="8:9" ht="15.75" customHeight="1" x14ac:dyDescent="0.35">
      <c r="H904" s="90"/>
      <c r="I904" s="90"/>
    </row>
    <row r="905" spans="8:9" ht="15.75" customHeight="1" x14ac:dyDescent="0.35">
      <c r="H905" s="90"/>
      <c r="I905" s="90"/>
    </row>
    <row r="906" spans="8:9" ht="15.75" customHeight="1" x14ac:dyDescent="0.35">
      <c r="H906" s="90"/>
      <c r="I906" s="90"/>
    </row>
    <row r="907" spans="8:9" ht="15.75" customHeight="1" x14ac:dyDescent="0.35">
      <c r="H907" s="90"/>
      <c r="I907" s="90"/>
    </row>
    <row r="908" spans="8:9" ht="15.75" customHeight="1" x14ac:dyDescent="0.35">
      <c r="H908" s="90"/>
      <c r="I908" s="90"/>
    </row>
    <row r="909" spans="8:9" ht="15.75" customHeight="1" x14ac:dyDescent="0.35">
      <c r="H909" s="90"/>
      <c r="I909" s="90"/>
    </row>
    <row r="910" spans="8:9" ht="15.75" customHeight="1" x14ac:dyDescent="0.35">
      <c r="H910" s="90"/>
      <c r="I910" s="90"/>
    </row>
    <row r="911" spans="8:9" ht="15.75" customHeight="1" x14ac:dyDescent="0.35">
      <c r="H911" s="90"/>
      <c r="I911" s="90"/>
    </row>
    <row r="912" spans="8:9" ht="15.75" customHeight="1" x14ac:dyDescent="0.35">
      <c r="H912" s="90"/>
      <c r="I912" s="90"/>
    </row>
    <row r="913" spans="8:9" ht="15.75" customHeight="1" x14ac:dyDescent="0.35">
      <c r="H913" s="90"/>
      <c r="I913" s="90"/>
    </row>
    <row r="914" spans="8:9" ht="15.75" customHeight="1" x14ac:dyDescent="0.35">
      <c r="H914" s="90"/>
      <c r="I914" s="90"/>
    </row>
    <row r="915" spans="8:9" ht="15.75" customHeight="1" x14ac:dyDescent="0.35">
      <c r="H915" s="90"/>
      <c r="I915" s="90"/>
    </row>
    <row r="916" spans="8:9" ht="15.75" customHeight="1" x14ac:dyDescent="0.35">
      <c r="H916" s="90"/>
      <c r="I916" s="90"/>
    </row>
    <row r="917" spans="8:9" ht="15.75" customHeight="1" x14ac:dyDescent="0.35">
      <c r="H917" s="90"/>
      <c r="I917" s="90"/>
    </row>
    <row r="918" spans="8:9" ht="15.75" customHeight="1" x14ac:dyDescent="0.35">
      <c r="H918" s="90"/>
      <c r="I918" s="90"/>
    </row>
    <row r="919" spans="8:9" ht="15.75" customHeight="1" x14ac:dyDescent="0.35">
      <c r="H919" s="90"/>
      <c r="I919" s="90"/>
    </row>
    <row r="920" spans="8:9" ht="15.75" customHeight="1" x14ac:dyDescent="0.35">
      <c r="H920" s="90"/>
      <c r="I920" s="90"/>
    </row>
    <row r="921" spans="8:9" ht="15.75" customHeight="1" x14ac:dyDescent="0.35">
      <c r="H921" s="90"/>
      <c r="I921" s="90"/>
    </row>
    <row r="922" spans="8:9" ht="15.75" customHeight="1" x14ac:dyDescent="0.35">
      <c r="H922" s="90"/>
      <c r="I922" s="90"/>
    </row>
    <row r="923" spans="8:9" ht="15.75" customHeight="1" x14ac:dyDescent="0.35">
      <c r="H923" s="90"/>
      <c r="I923" s="90"/>
    </row>
    <row r="924" spans="8:9" ht="15.75" customHeight="1" x14ac:dyDescent="0.35">
      <c r="H924" s="90"/>
      <c r="I924" s="90"/>
    </row>
    <row r="925" spans="8:9" ht="15.75" customHeight="1" x14ac:dyDescent="0.35">
      <c r="H925" s="90"/>
      <c r="I925" s="90"/>
    </row>
    <row r="926" spans="8:9" ht="15.75" customHeight="1" x14ac:dyDescent="0.35">
      <c r="H926" s="90"/>
      <c r="I926" s="90"/>
    </row>
    <row r="927" spans="8:9" ht="15.75" customHeight="1" x14ac:dyDescent="0.35">
      <c r="H927" s="90"/>
      <c r="I927" s="90"/>
    </row>
    <row r="928" spans="8:9" ht="15.75" customHeight="1" x14ac:dyDescent="0.35">
      <c r="H928" s="90"/>
      <c r="I928" s="90"/>
    </row>
    <row r="929" spans="8:9" ht="15.75" customHeight="1" x14ac:dyDescent="0.35">
      <c r="H929" s="90"/>
      <c r="I929" s="90"/>
    </row>
    <row r="930" spans="8:9" ht="15.75" customHeight="1" x14ac:dyDescent="0.35">
      <c r="H930" s="90"/>
      <c r="I930" s="90"/>
    </row>
    <row r="931" spans="8:9" ht="15.75" customHeight="1" x14ac:dyDescent="0.35">
      <c r="H931" s="90"/>
      <c r="I931" s="90"/>
    </row>
    <row r="932" spans="8:9" ht="15.75" customHeight="1" x14ac:dyDescent="0.35">
      <c r="H932" s="90"/>
      <c r="I932" s="90"/>
    </row>
    <row r="933" spans="8:9" ht="15.75" customHeight="1" x14ac:dyDescent="0.35">
      <c r="H933" s="90"/>
      <c r="I933" s="90"/>
    </row>
    <row r="934" spans="8:9" ht="15.75" customHeight="1" x14ac:dyDescent="0.35">
      <c r="H934" s="90"/>
      <c r="I934" s="90"/>
    </row>
    <row r="935" spans="8:9" ht="15.75" customHeight="1" x14ac:dyDescent="0.35">
      <c r="H935" s="90"/>
      <c r="I935" s="90"/>
    </row>
    <row r="936" spans="8:9" ht="15.75" customHeight="1" x14ac:dyDescent="0.35">
      <c r="H936" s="90"/>
      <c r="I936" s="90"/>
    </row>
    <row r="937" spans="8:9" ht="15.75" customHeight="1" x14ac:dyDescent="0.35">
      <c r="H937" s="90"/>
      <c r="I937" s="90"/>
    </row>
    <row r="938" spans="8:9" ht="15.75" customHeight="1" x14ac:dyDescent="0.35">
      <c r="H938" s="90"/>
      <c r="I938" s="90"/>
    </row>
    <row r="939" spans="8:9" ht="15.75" customHeight="1" x14ac:dyDescent="0.35">
      <c r="H939" s="90"/>
      <c r="I939" s="90"/>
    </row>
    <row r="940" spans="8:9" ht="15.75" customHeight="1" x14ac:dyDescent="0.35">
      <c r="H940" s="90"/>
      <c r="I940" s="90"/>
    </row>
    <row r="941" spans="8:9" ht="15.75" customHeight="1" x14ac:dyDescent="0.35">
      <c r="H941" s="90"/>
      <c r="I941" s="90"/>
    </row>
    <row r="942" spans="8:9" ht="15.75" customHeight="1" x14ac:dyDescent="0.35">
      <c r="H942" s="90"/>
      <c r="I942" s="90"/>
    </row>
    <row r="943" spans="8:9" ht="15.75" customHeight="1" x14ac:dyDescent="0.35">
      <c r="H943" s="90"/>
      <c r="I943" s="90"/>
    </row>
    <row r="944" spans="8:9" ht="15.75" customHeight="1" x14ac:dyDescent="0.35">
      <c r="H944" s="90"/>
      <c r="I944" s="90"/>
    </row>
    <row r="945" spans="8:9" ht="15.75" customHeight="1" x14ac:dyDescent="0.35">
      <c r="H945" s="90"/>
      <c r="I945" s="90"/>
    </row>
    <row r="946" spans="8:9" ht="15.75" customHeight="1" x14ac:dyDescent="0.35">
      <c r="H946" s="90"/>
      <c r="I946" s="90"/>
    </row>
    <row r="947" spans="8:9" ht="15.75" customHeight="1" x14ac:dyDescent="0.35">
      <c r="H947" s="90"/>
      <c r="I947" s="90"/>
    </row>
    <row r="948" spans="8:9" ht="15.75" customHeight="1" x14ac:dyDescent="0.35">
      <c r="H948" s="90"/>
      <c r="I948" s="90"/>
    </row>
    <row r="949" spans="8:9" ht="15.75" customHeight="1" x14ac:dyDescent="0.35">
      <c r="H949" s="90"/>
      <c r="I949" s="90"/>
    </row>
    <row r="950" spans="8:9" ht="15.75" customHeight="1" x14ac:dyDescent="0.35">
      <c r="H950" s="90"/>
      <c r="I950" s="90"/>
    </row>
    <row r="951" spans="8:9" ht="15.75" customHeight="1" x14ac:dyDescent="0.35">
      <c r="H951" s="90"/>
      <c r="I951" s="90"/>
    </row>
    <row r="952" spans="8:9" ht="15.75" customHeight="1" x14ac:dyDescent="0.35">
      <c r="H952" s="90"/>
      <c r="I952" s="90"/>
    </row>
    <row r="953" spans="8:9" ht="15.75" customHeight="1" x14ac:dyDescent="0.35">
      <c r="H953" s="90"/>
      <c r="I953" s="90"/>
    </row>
    <row r="954" spans="8:9" ht="15.75" customHeight="1" x14ac:dyDescent="0.35">
      <c r="H954" s="90"/>
      <c r="I954" s="90"/>
    </row>
    <row r="955" spans="8:9" ht="15.75" customHeight="1" x14ac:dyDescent="0.35">
      <c r="H955" s="90"/>
      <c r="I955" s="90"/>
    </row>
    <row r="956" spans="8:9" ht="15.75" customHeight="1" x14ac:dyDescent="0.35">
      <c r="H956" s="90"/>
      <c r="I956" s="90"/>
    </row>
    <row r="957" spans="8:9" ht="15.75" customHeight="1" x14ac:dyDescent="0.35">
      <c r="H957" s="90"/>
      <c r="I957" s="90"/>
    </row>
    <row r="958" spans="8:9" ht="15.75" customHeight="1" x14ac:dyDescent="0.35">
      <c r="H958" s="90"/>
      <c r="I958" s="90"/>
    </row>
    <row r="959" spans="8:9" ht="15.75" customHeight="1" x14ac:dyDescent="0.35">
      <c r="H959" s="90"/>
      <c r="I959" s="90"/>
    </row>
    <row r="960" spans="8:9" ht="15.75" customHeight="1" x14ac:dyDescent="0.35">
      <c r="H960" s="90"/>
      <c r="I960" s="90"/>
    </row>
    <row r="961" spans="8:9" ht="15.75" customHeight="1" x14ac:dyDescent="0.35">
      <c r="H961" s="90"/>
      <c r="I961" s="90"/>
    </row>
    <row r="962" spans="8:9" ht="15.75" customHeight="1" x14ac:dyDescent="0.35">
      <c r="H962" s="90"/>
      <c r="I962" s="90"/>
    </row>
    <row r="963" spans="8:9" ht="15.75" customHeight="1" x14ac:dyDescent="0.35">
      <c r="H963" s="90"/>
      <c r="I963" s="90"/>
    </row>
    <row r="964" spans="8:9" ht="15.75" customHeight="1" x14ac:dyDescent="0.35">
      <c r="H964" s="90"/>
      <c r="I964" s="90"/>
    </row>
    <row r="965" spans="8:9" ht="15.75" customHeight="1" x14ac:dyDescent="0.35">
      <c r="H965" s="90"/>
      <c r="I965" s="90"/>
    </row>
    <row r="966" spans="8:9" ht="15.75" customHeight="1" x14ac:dyDescent="0.35">
      <c r="H966" s="90"/>
      <c r="I966" s="90"/>
    </row>
    <row r="967" spans="8:9" ht="15.75" customHeight="1" x14ac:dyDescent="0.35">
      <c r="H967" s="90"/>
      <c r="I967" s="90"/>
    </row>
    <row r="968" spans="8:9" ht="15.75" customHeight="1" x14ac:dyDescent="0.35">
      <c r="H968" s="90"/>
      <c r="I968" s="90"/>
    </row>
    <row r="969" spans="8:9" ht="15.75" customHeight="1" x14ac:dyDescent="0.35">
      <c r="H969" s="90"/>
      <c r="I969" s="90"/>
    </row>
    <row r="970" spans="8:9" ht="15.75" customHeight="1" x14ac:dyDescent="0.35">
      <c r="H970" s="90"/>
      <c r="I970" s="90"/>
    </row>
    <row r="971" spans="8:9" ht="15.75" customHeight="1" x14ac:dyDescent="0.35">
      <c r="H971" s="90"/>
      <c r="I971" s="90"/>
    </row>
    <row r="972" spans="8:9" ht="15.75" customHeight="1" x14ac:dyDescent="0.35">
      <c r="H972" s="90"/>
      <c r="I972" s="90"/>
    </row>
    <row r="973" spans="8:9" ht="15.75" customHeight="1" x14ac:dyDescent="0.35">
      <c r="H973" s="90"/>
      <c r="I973" s="90"/>
    </row>
    <row r="974" spans="8:9" ht="15.75" customHeight="1" x14ac:dyDescent="0.35">
      <c r="H974" s="90"/>
      <c r="I974" s="90"/>
    </row>
    <row r="975" spans="8:9" ht="15.75" customHeight="1" x14ac:dyDescent="0.35">
      <c r="H975" s="90"/>
      <c r="I975" s="90"/>
    </row>
    <row r="976" spans="8:9" ht="15.75" customHeight="1" x14ac:dyDescent="0.35">
      <c r="H976" s="90"/>
      <c r="I976" s="90"/>
    </row>
    <row r="977" spans="8:9" ht="15.75" customHeight="1" x14ac:dyDescent="0.35">
      <c r="H977" s="90"/>
      <c r="I977" s="90"/>
    </row>
    <row r="978" spans="8:9" ht="15.75" customHeight="1" x14ac:dyDescent="0.35">
      <c r="H978" s="90"/>
      <c r="I978" s="90"/>
    </row>
    <row r="979" spans="8:9" ht="15.75" customHeight="1" x14ac:dyDescent="0.35">
      <c r="H979" s="90"/>
      <c r="I979" s="90"/>
    </row>
    <row r="980" spans="8:9" ht="15.75" customHeight="1" x14ac:dyDescent="0.35">
      <c r="H980" s="90"/>
      <c r="I980" s="90"/>
    </row>
    <row r="981" spans="8:9" ht="15.75" customHeight="1" x14ac:dyDescent="0.35">
      <c r="H981" s="90"/>
      <c r="I981" s="90"/>
    </row>
    <row r="982" spans="8:9" ht="15.75" customHeight="1" x14ac:dyDescent="0.35">
      <c r="H982" s="90"/>
      <c r="I982" s="90"/>
    </row>
    <row r="983" spans="8:9" ht="15.75" customHeight="1" x14ac:dyDescent="0.35">
      <c r="H983" s="90"/>
      <c r="I983" s="90"/>
    </row>
    <row r="984" spans="8:9" ht="15.75" customHeight="1" x14ac:dyDescent="0.35">
      <c r="H984" s="90"/>
      <c r="I984" s="90"/>
    </row>
    <row r="985" spans="8:9" ht="15.75" customHeight="1" x14ac:dyDescent="0.35">
      <c r="H985" s="90"/>
      <c r="I985" s="90"/>
    </row>
    <row r="986" spans="8:9" ht="15.75" customHeight="1" x14ac:dyDescent="0.35">
      <c r="H986" s="90"/>
      <c r="I986" s="90"/>
    </row>
    <row r="987" spans="8:9" ht="15.75" customHeight="1" x14ac:dyDescent="0.35">
      <c r="H987" s="90"/>
      <c r="I987" s="90"/>
    </row>
    <row r="988" spans="8:9" ht="15.75" customHeight="1" x14ac:dyDescent="0.35">
      <c r="H988" s="90"/>
      <c r="I988" s="90"/>
    </row>
    <row r="989" spans="8:9" ht="15.75" customHeight="1" x14ac:dyDescent="0.35">
      <c r="H989" s="90"/>
      <c r="I989" s="90"/>
    </row>
    <row r="990" spans="8:9" ht="15.75" customHeight="1" x14ac:dyDescent="0.35">
      <c r="H990" s="90"/>
      <c r="I990" s="90"/>
    </row>
    <row r="991" spans="8:9" ht="15.75" customHeight="1" x14ac:dyDescent="0.35">
      <c r="H991" s="90"/>
      <c r="I991" s="90"/>
    </row>
    <row r="992" spans="8:9" ht="15.75" customHeight="1" x14ac:dyDescent="0.35">
      <c r="H992" s="90"/>
      <c r="I992" s="90"/>
    </row>
    <row r="993" spans="8:9" ht="15.75" customHeight="1" x14ac:dyDescent="0.35">
      <c r="H993" s="90"/>
      <c r="I993" s="90"/>
    </row>
    <row r="994" spans="8:9" ht="15.75" customHeight="1" x14ac:dyDescent="0.35">
      <c r="H994" s="90"/>
      <c r="I994" s="90"/>
    </row>
    <row r="995" spans="8:9" ht="15.75" customHeight="1" x14ac:dyDescent="0.35">
      <c r="H995" s="90"/>
      <c r="I995" s="90"/>
    </row>
    <row r="996" spans="8:9" ht="15.75" customHeight="1" x14ac:dyDescent="0.35">
      <c r="H996" s="90"/>
      <c r="I996" s="90"/>
    </row>
    <row r="997" spans="8:9" ht="15.75" customHeight="1" x14ac:dyDescent="0.35">
      <c r="H997" s="90"/>
      <c r="I997" s="90"/>
    </row>
    <row r="998" spans="8:9" ht="15.75" customHeight="1" x14ac:dyDescent="0.35">
      <c r="H998" s="90"/>
      <c r="I998" s="90"/>
    </row>
    <row r="999" spans="8:9" ht="15.75" customHeight="1" x14ac:dyDescent="0.35">
      <c r="H999" s="90"/>
      <c r="I999" s="90"/>
    </row>
    <row r="1000" spans="8:9" ht="15.75" customHeight="1" x14ac:dyDescent="0.35">
      <c r="H1000" s="90"/>
      <c r="I1000" s="90"/>
    </row>
    <row r="1001" spans="8:9" ht="15.75" customHeight="1" x14ac:dyDescent="0.35">
      <c r="H1001" s="90"/>
      <c r="I1001" s="90"/>
    </row>
    <row r="1002" spans="8:9" ht="15.75" customHeight="1" x14ac:dyDescent="0.35">
      <c r="H1002" s="90"/>
      <c r="I1002" s="90"/>
    </row>
    <row r="1003" spans="8:9" ht="15.75" customHeight="1" x14ac:dyDescent="0.35">
      <c r="H1003" s="90"/>
      <c r="I1003" s="90"/>
    </row>
  </sheetData>
  <mergeCells count="14">
    <mergeCell ref="O2:P2"/>
    <mergeCell ref="T2:T5"/>
    <mergeCell ref="O3:P3"/>
    <mergeCell ref="E3:I3"/>
    <mergeCell ref="G69:H69"/>
    <mergeCell ref="I69:I70"/>
    <mergeCell ref="G70:H70"/>
    <mergeCell ref="L2:L4"/>
    <mergeCell ref="M2:N3"/>
    <mergeCell ref="A1:I1"/>
    <mergeCell ref="A2:A4"/>
    <mergeCell ref="B2:B4"/>
    <mergeCell ref="C2:D3"/>
    <mergeCell ref="E2:I2"/>
  </mergeCells>
  <pageMargins left="0.25" right="0.25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003"/>
  <sheetViews>
    <sheetView workbookViewId="0">
      <pane xSplit="1" topLeftCell="B1" activePane="topRight" state="frozen"/>
      <selection pane="topRight" activeCell="C2" sqref="C2"/>
    </sheetView>
  </sheetViews>
  <sheetFormatPr defaultColWidth="14.453125" defaultRowHeight="15" customHeight="1" x14ac:dyDescent="0.35"/>
  <cols>
    <col min="1" max="1" width="41.26953125" customWidth="1"/>
    <col min="2" max="4" width="22.7265625" customWidth="1"/>
    <col min="5" max="6" width="15.7265625" customWidth="1"/>
    <col min="7" max="8" width="19.81640625" customWidth="1"/>
    <col min="9" max="10" width="17.7265625" customWidth="1"/>
    <col min="11" max="12" width="24.54296875" hidden="1" customWidth="1"/>
    <col min="13" max="16" width="22.7265625" customWidth="1"/>
    <col min="17" max="17" width="17.7265625" customWidth="1"/>
    <col min="18" max="18" width="24.08984375" hidden="1" customWidth="1"/>
    <col min="19" max="19" width="22.08984375" hidden="1" customWidth="1"/>
    <col min="20" max="20" width="8.26953125" customWidth="1"/>
    <col min="21" max="21" width="36.7265625" customWidth="1"/>
    <col min="22" max="32" width="8.7265625" customWidth="1"/>
  </cols>
  <sheetData>
    <row r="1" spans="1:21" ht="26" x14ac:dyDescent="0.6">
      <c r="A1" s="108">
        <v>46307</v>
      </c>
      <c r="B1" s="109"/>
      <c r="C1" s="109"/>
      <c r="D1" s="109"/>
      <c r="E1" s="109"/>
      <c r="F1" s="109"/>
      <c r="G1" s="109"/>
      <c r="H1" s="109"/>
      <c r="I1" s="109"/>
      <c r="J1" s="109"/>
    </row>
    <row r="2" spans="1:21" ht="27" customHeight="1" x14ac:dyDescent="0.6">
      <c r="A2" s="110" t="s">
        <v>0</v>
      </c>
      <c r="B2" s="113" t="s">
        <v>1</v>
      </c>
      <c r="C2" s="116"/>
      <c r="D2" s="117"/>
      <c r="E2" s="119" t="s">
        <v>2</v>
      </c>
      <c r="F2" s="120"/>
      <c r="G2" s="120"/>
      <c r="H2" s="120"/>
      <c r="I2" s="120"/>
      <c r="J2" s="121"/>
      <c r="K2" s="1"/>
      <c r="L2" s="1"/>
      <c r="M2" s="129" t="s">
        <v>1</v>
      </c>
      <c r="N2" s="130"/>
      <c r="O2" s="131"/>
      <c r="P2" s="122" t="s">
        <v>3</v>
      </c>
      <c r="Q2" s="121"/>
      <c r="R2" s="3"/>
      <c r="S2" s="3"/>
      <c r="U2" s="123" t="s">
        <v>4</v>
      </c>
    </row>
    <row r="3" spans="1:21" ht="27" customHeight="1" x14ac:dyDescent="0.6">
      <c r="A3" s="111"/>
      <c r="B3" s="114"/>
      <c r="C3" s="118"/>
      <c r="D3" s="109"/>
      <c r="E3" s="125" t="s">
        <v>5</v>
      </c>
      <c r="F3" s="120"/>
      <c r="G3" s="120"/>
      <c r="H3" s="120"/>
      <c r="I3" s="120"/>
      <c r="J3" s="121"/>
      <c r="K3" s="1"/>
      <c r="L3" s="2"/>
      <c r="M3" s="114"/>
      <c r="N3" s="132"/>
      <c r="O3" s="133"/>
      <c r="P3" s="124" t="s">
        <v>6</v>
      </c>
      <c r="Q3" s="121"/>
      <c r="R3" s="3"/>
      <c r="S3" s="3"/>
      <c r="U3" s="114"/>
    </row>
    <row r="4" spans="1:21" ht="27" customHeight="1" x14ac:dyDescent="0.6">
      <c r="A4" s="112"/>
      <c r="B4" s="115"/>
      <c r="C4" s="4" t="s">
        <v>68</v>
      </c>
      <c r="D4" s="5" t="s">
        <v>8</v>
      </c>
      <c r="E4" s="6" t="s">
        <v>9</v>
      </c>
      <c r="F4" s="6" t="s">
        <v>10</v>
      </c>
      <c r="G4" s="6" t="s">
        <v>69</v>
      </c>
      <c r="H4" s="6" t="s">
        <v>11</v>
      </c>
      <c r="I4" s="7" t="s">
        <v>12</v>
      </c>
      <c r="J4" s="8" t="s">
        <v>13</v>
      </c>
      <c r="K4" s="9" t="s">
        <v>14</v>
      </c>
      <c r="L4" s="10" t="s">
        <v>15</v>
      </c>
      <c r="M4" s="115"/>
      <c r="N4" s="11" t="s">
        <v>70</v>
      </c>
      <c r="O4" s="12" t="s">
        <v>17</v>
      </c>
      <c r="P4" s="13" t="s">
        <v>18</v>
      </c>
      <c r="Q4" s="94" t="s">
        <v>13</v>
      </c>
      <c r="R4" s="9" t="s">
        <v>14</v>
      </c>
      <c r="S4" s="10" t="s">
        <v>15</v>
      </c>
      <c r="T4" s="99"/>
      <c r="U4" s="114"/>
    </row>
    <row r="5" spans="1:21" ht="21" x14ac:dyDescent="0.5">
      <c r="A5" s="15" t="s">
        <v>19</v>
      </c>
      <c r="B5" s="16"/>
      <c r="C5" s="17"/>
      <c r="D5" s="18"/>
      <c r="E5" s="19"/>
      <c r="F5" s="19"/>
      <c r="G5" s="19"/>
      <c r="H5" s="19"/>
      <c r="I5" s="20"/>
      <c r="J5" s="20"/>
      <c r="K5" s="21"/>
      <c r="L5" s="21"/>
      <c r="M5" s="22"/>
      <c r="N5" s="23"/>
      <c r="O5" s="24"/>
      <c r="P5" s="25"/>
      <c r="Q5" s="25"/>
      <c r="R5" s="21"/>
      <c r="S5" s="21"/>
      <c r="T5" s="100"/>
      <c r="U5" s="115"/>
    </row>
    <row r="6" spans="1:21" ht="21" x14ac:dyDescent="0.5">
      <c r="A6" s="26" t="s">
        <v>20</v>
      </c>
      <c r="B6" s="95">
        <v>194</v>
      </c>
      <c r="C6" s="28"/>
      <c r="D6" s="29"/>
      <c r="E6" s="42">
        <v>12</v>
      </c>
      <c r="F6" s="42"/>
      <c r="G6" s="42"/>
      <c r="H6" s="42"/>
      <c r="I6" s="31">
        <f t="shared" ref="I6:I13" si="0">SUM(E6:H6)</f>
        <v>12</v>
      </c>
      <c r="J6" s="32">
        <f t="shared" ref="J6:J13" si="1">B6-I6+C6+D6</f>
        <v>182</v>
      </c>
      <c r="K6" s="41">
        <f>168+1+12</f>
        <v>181</v>
      </c>
      <c r="L6" s="33">
        <f t="shared" ref="L6:L13" si="2">K6-J6</f>
        <v>-1</v>
      </c>
      <c r="M6" s="31">
        <v>0</v>
      </c>
      <c r="N6" s="34"/>
      <c r="O6" s="35"/>
      <c r="P6" s="36"/>
      <c r="Q6" s="37">
        <v>0</v>
      </c>
      <c r="R6" s="33"/>
      <c r="S6" s="33">
        <f t="shared" ref="S6:S13" si="3">R6-Q6</f>
        <v>0</v>
      </c>
      <c r="T6" s="101"/>
      <c r="U6" s="38">
        <f t="shared" ref="U6:U13" si="4">J6+Q6</f>
        <v>182</v>
      </c>
    </row>
    <row r="7" spans="1:21" ht="21" x14ac:dyDescent="0.5">
      <c r="A7" s="26" t="s">
        <v>21</v>
      </c>
      <c r="B7" s="95">
        <v>113</v>
      </c>
      <c r="C7" s="28"/>
      <c r="D7" s="29"/>
      <c r="E7" s="42"/>
      <c r="F7" s="42"/>
      <c r="G7" s="42"/>
      <c r="H7" s="42"/>
      <c r="I7" s="31">
        <f t="shared" si="0"/>
        <v>0</v>
      </c>
      <c r="J7" s="32">
        <f t="shared" si="1"/>
        <v>113</v>
      </c>
      <c r="K7" s="41">
        <f>96+27</f>
        <v>123</v>
      </c>
      <c r="L7" s="33">
        <f t="shared" si="2"/>
        <v>10</v>
      </c>
      <c r="M7" s="31">
        <v>0</v>
      </c>
      <c r="N7" s="34"/>
      <c r="O7" s="40"/>
      <c r="P7" s="36"/>
      <c r="Q7" s="37">
        <v>0</v>
      </c>
      <c r="R7" s="33"/>
      <c r="S7" s="33">
        <f t="shared" si="3"/>
        <v>0</v>
      </c>
      <c r="T7" s="101"/>
      <c r="U7" s="38">
        <f t="shared" si="4"/>
        <v>113</v>
      </c>
    </row>
    <row r="8" spans="1:21" ht="21" x14ac:dyDescent="0.5">
      <c r="A8" s="26" t="s">
        <v>22</v>
      </c>
      <c r="B8" s="95">
        <v>238</v>
      </c>
      <c r="C8" s="28"/>
      <c r="D8" s="29"/>
      <c r="E8" s="42"/>
      <c r="F8" s="30"/>
      <c r="G8" s="42"/>
      <c r="H8" s="42"/>
      <c r="I8" s="31">
        <f t="shared" si="0"/>
        <v>0</v>
      </c>
      <c r="J8" s="32">
        <f t="shared" si="1"/>
        <v>238</v>
      </c>
      <c r="K8" s="41">
        <f>216+22</f>
        <v>238</v>
      </c>
      <c r="L8" s="33">
        <f t="shared" si="2"/>
        <v>0</v>
      </c>
      <c r="M8" s="31">
        <v>0</v>
      </c>
      <c r="N8" s="34"/>
      <c r="O8" s="35"/>
      <c r="P8" s="36"/>
      <c r="Q8" s="37">
        <v>0</v>
      </c>
      <c r="R8" s="33"/>
      <c r="S8" s="33">
        <f t="shared" si="3"/>
        <v>0</v>
      </c>
      <c r="T8" s="101"/>
      <c r="U8" s="38">
        <f t="shared" si="4"/>
        <v>238</v>
      </c>
    </row>
    <row r="9" spans="1:21" ht="21" x14ac:dyDescent="0.5">
      <c r="A9" s="26" t="s">
        <v>23</v>
      </c>
      <c r="B9" s="95">
        <v>551</v>
      </c>
      <c r="C9" s="28"/>
      <c r="D9" s="29"/>
      <c r="E9" s="42"/>
      <c r="F9" s="42"/>
      <c r="G9" s="42"/>
      <c r="H9" s="42"/>
      <c r="I9" s="31">
        <f t="shared" si="0"/>
        <v>0</v>
      </c>
      <c r="J9" s="32">
        <f t="shared" si="1"/>
        <v>551</v>
      </c>
      <c r="K9" s="41">
        <f>432+20</f>
        <v>452</v>
      </c>
      <c r="L9" s="33">
        <f t="shared" si="2"/>
        <v>-99</v>
      </c>
      <c r="M9" s="31">
        <v>0</v>
      </c>
      <c r="N9" s="34"/>
      <c r="O9" s="40"/>
      <c r="P9" s="36"/>
      <c r="Q9" s="37">
        <v>0</v>
      </c>
      <c r="R9" s="41"/>
      <c r="S9" s="33">
        <f t="shared" si="3"/>
        <v>0</v>
      </c>
      <c r="T9" s="101"/>
      <c r="U9" s="38">
        <f t="shared" si="4"/>
        <v>551</v>
      </c>
    </row>
    <row r="10" spans="1:21" ht="21" x14ac:dyDescent="0.5">
      <c r="A10" s="26" t="s">
        <v>24</v>
      </c>
      <c r="B10" s="95">
        <v>407</v>
      </c>
      <c r="C10" s="28"/>
      <c r="D10" s="29"/>
      <c r="E10" s="42">
        <v>17</v>
      </c>
      <c r="F10" s="42">
        <v>72</v>
      </c>
      <c r="G10" s="42"/>
      <c r="H10" s="42">
        <v>10</v>
      </c>
      <c r="I10" s="31">
        <f t="shared" si="0"/>
        <v>99</v>
      </c>
      <c r="J10" s="32">
        <f t="shared" si="1"/>
        <v>308</v>
      </c>
      <c r="K10" s="41">
        <f>360</f>
        <v>360</v>
      </c>
      <c r="L10" s="33">
        <f t="shared" si="2"/>
        <v>52</v>
      </c>
      <c r="M10" s="31">
        <v>0</v>
      </c>
      <c r="N10" s="34"/>
      <c r="O10" s="40"/>
      <c r="P10" s="36"/>
      <c r="Q10" s="37">
        <v>0</v>
      </c>
      <c r="R10" s="41"/>
      <c r="S10" s="33">
        <f t="shared" si="3"/>
        <v>0</v>
      </c>
      <c r="T10" s="101"/>
      <c r="U10" s="38">
        <f t="shared" si="4"/>
        <v>308</v>
      </c>
    </row>
    <row r="11" spans="1:21" ht="21" x14ac:dyDescent="0.5">
      <c r="A11" s="26" t="s">
        <v>25</v>
      </c>
      <c r="B11" s="95">
        <v>264</v>
      </c>
      <c r="C11" s="28"/>
      <c r="D11" s="29"/>
      <c r="E11" s="42"/>
      <c r="F11" s="42"/>
      <c r="G11" s="42"/>
      <c r="H11" s="42"/>
      <c r="I11" s="31">
        <f t="shared" si="0"/>
        <v>0</v>
      </c>
      <c r="J11" s="32">
        <f t="shared" si="1"/>
        <v>264</v>
      </c>
      <c r="K11" s="41">
        <v>456</v>
      </c>
      <c r="L11" s="33">
        <f t="shared" si="2"/>
        <v>192</v>
      </c>
      <c r="M11" s="31">
        <v>0</v>
      </c>
      <c r="N11" s="34"/>
      <c r="O11" s="40"/>
      <c r="P11" s="36"/>
      <c r="Q11" s="37">
        <v>0</v>
      </c>
      <c r="R11" s="33"/>
      <c r="S11" s="33">
        <f t="shared" si="3"/>
        <v>0</v>
      </c>
      <c r="T11" s="101"/>
      <c r="U11" s="38">
        <f t="shared" si="4"/>
        <v>264</v>
      </c>
    </row>
    <row r="12" spans="1:21" ht="21" x14ac:dyDescent="0.5">
      <c r="A12" s="26" t="s">
        <v>26</v>
      </c>
      <c r="B12" s="95">
        <v>20</v>
      </c>
      <c r="C12" s="28"/>
      <c r="D12" s="29"/>
      <c r="E12" s="42"/>
      <c r="F12" s="30"/>
      <c r="G12" s="30"/>
      <c r="H12" s="30"/>
      <c r="I12" s="31">
        <f t="shared" si="0"/>
        <v>0</v>
      </c>
      <c r="J12" s="32">
        <f t="shared" si="1"/>
        <v>20</v>
      </c>
      <c r="K12" s="41">
        <v>18</v>
      </c>
      <c r="L12" s="33">
        <f t="shared" si="2"/>
        <v>-2</v>
      </c>
      <c r="M12" s="31">
        <v>0</v>
      </c>
      <c r="N12" s="34"/>
      <c r="O12" s="40"/>
      <c r="P12" s="36"/>
      <c r="Q12" s="37">
        <v>0</v>
      </c>
      <c r="R12" s="41"/>
      <c r="S12" s="33">
        <f t="shared" si="3"/>
        <v>0</v>
      </c>
      <c r="T12" s="101"/>
      <c r="U12" s="38">
        <f t="shared" si="4"/>
        <v>20</v>
      </c>
    </row>
    <row r="13" spans="1:21" ht="21" x14ac:dyDescent="0.5">
      <c r="A13" s="26" t="s">
        <v>27</v>
      </c>
      <c r="B13" s="95">
        <v>454</v>
      </c>
      <c r="C13" s="28"/>
      <c r="D13" s="29"/>
      <c r="E13" s="42"/>
      <c r="F13" s="30"/>
      <c r="G13" s="42"/>
      <c r="H13" s="42"/>
      <c r="I13" s="31">
        <f t="shared" si="0"/>
        <v>0</v>
      </c>
      <c r="J13" s="32">
        <f t="shared" si="1"/>
        <v>454</v>
      </c>
      <c r="K13" s="41">
        <f>456+27</f>
        <v>483</v>
      </c>
      <c r="L13" s="33">
        <f t="shared" si="2"/>
        <v>29</v>
      </c>
      <c r="M13" s="31">
        <v>18</v>
      </c>
      <c r="N13" s="34"/>
      <c r="O13" s="40"/>
      <c r="P13" s="36"/>
      <c r="Q13" s="37">
        <v>18</v>
      </c>
      <c r="R13" s="41">
        <v>18</v>
      </c>
      <c r="S13" s="33">
        <f t="shared" si="3"/>
        <v>0</v>
      </c>
      <c r="T13" s="101"/>
      <c r="U13" s="38">
        <f t="shared" si="4"/>
        <v>472</v>
      </c>
    </row>
    <row r="14" spans="1:21" ht="21" x14ac:dyDescent="0.5">
      <c r="A14" s="15" t="s">
        <v>28</v>
      </c>
      <c r="B14" s="96"/>
      <c r="C14" s="45"/>
      <c r="D14" s="46"/>
      <c r="E14" s="47"/>
      <c r="F14" s="47"/>
      <c r="G14" s="47"/>
      <c r="H14" s="47"/>
      <c r="I14" s="47"/>
      <c r="J14" s="48"/>
      <c r="K14" s="103"/>
      <c r="L14" s="50"/>
      <c r="M14" s="48"/>
      <c r="N14" s="51"/>
      <c r="O14" s="52"/>
      <c r="P14" s="47"/>
      <c r="Q14" s="47"/>
      <c r="R14" s="49"/>
      <c r="S14" s="50"/>
      <c r="T14" s="50"/>
      <c r="U14" s="47"/>
    </row>
    <row r="15" spans="1:21" ht="21" x14ac:dyDescent="0.5">
      <c r="A15" s="26" t="s">
        <v>29</v>
      </c>
      <c r="B15" s="95">
        <v>143</v>
      </c>
      <c r="C15" s="28"/>
      <c r="D15" s="29"/>
      <c r="E15" s="30"/>
      <c r="F15" s="30"/>
      <c r="G15" s="30"/>
      <c r="H15" s="30"/>
      <c r="I15" s="31">
        <f t="shared" ref="I15:I27" si="5">SUM(E15:H15)</f>
        <v>0</v>
      </c>
      <c r="J15" s="32">
        <f t="shared" ref="J15:J27" si="6">B15-I15+C15+D15</f>
        <v>143</v>
      </c>
      <c r="K15" s="41">
        <f>132+2+9</f>
        <v>143</v>
      </c>
      <c r="L15" s="33">
        <f t="shared" ref="L15:L27" si="7">K15-J15</f>
        <v>0</v>
      </c>
      <c r="M15" s="31">
        <v>8</v>
      </c>
      <c r="N15" s="34"/>
      <c r="O15" s="40"/>
      <c r="P15" s="53"/>
      <c r="Q15" s="37">
        <v>8</v>
      </c>
      <c r="R15" s="41">
        <v>8</v>
      </c>
      <c r="S15" s="33">
        <f t="shared" ref="S15:S27" si="8">R15-Q15</f>
        <v>0</v>
      </c>
      <c r="T15" s="101"/>
      <c r="U15" s="38">
        <f t="shared" ref="U15:U27" si="9">J15+Q15</f>
        <v>151</v>
      </c>
    </row>
    <row r="16" spans="1:21" ht="21" x14ac:dyDescent="0.5">
      <c r="A16" s="26" t="s">
        <v>30</v>
      </c>
      <c r="B16" s="95">
        <v>704</v>
      </c>
      <c r="C16" s="54">
        <v>120</v>
      </c>
      <c r="D16" s="29"/>
      <c r="E16" s="42"/>
      <c r="F16" s="42">
        <v>36</v>
      </c>
      <c r="G16" s="42"/>
      <c r="H16" s="42">
        <v>123</v>
      </c>
      <c r="I16" s="31">
        <f t="shared" si="5"/>
        <v>159</v>
      </c>
      <c r="J16" s="32">
        <f t="shared" si="6"/>
        <v>665</v>
      </c>
      <c r="K16" s="41">
        <f>192+5+120+5</f>
        <v>322</v>
      </c>
      <c r="L16" s="33">
        <f t="shared" si="7"/>
        <v>-343</v>
      </c>
      <c r="M16" s="31">
        <v>328</v>
      </c>
      <c r="N16" s="64">
        <v>120</v>
      </c>
      <c r="O16" s="35">
        <v>8</v>
      </c>
      <c r="P16" s="53">
        <v>197</v>
      </c>
      <c r="Q16" s="37">
        <v>328</v>
      </c>
      <c r="R16" s="33">
        <f>4+176+28+48</f>
        <v>256</v>
      </c>
      <c r="S16" s="33">
        <f t="shared" si="8"/>
        <v>-72</v>
      </c>
      <c r="T16" s="101"/>
      <c r="U16" s="38">
        <f t="shared" si="9"/>
        <v>993</v>
      </c>
    </row>
    <row r="17" spans="1:21" ht="21" x14ac:dyDescent="0.5">
      <c r="A17" s="26" t="s">
        <v>31</v>
      </c>
      <c r="B17" s="95">
        <v>117</v>
      </c>
      <c r="C17" s="28"/>
      <c r="D17" s="29"/>
      <c r="E17" s="30"/>
      <c r="F17" s="42"/>
      <c r="G17" s="30"/>
      <c r="H17" s="30"/>
      <c r="I17" s="31">
        <f t="shared" si="5"/>
        <v>0</v>
      </c>
      <c r="J17" s="32">
        <f t="shared" si="6"/>
        <v>117</v>
      </c>
      <c r="K17" s="41">
        <v>117</v>
      </c>
      <c r="L17" s="33">
        <f t="shared" si="7"/>
        <v>0</v>
      </c>
      <c r="M17" s="31">
        <v>11</v>
      </c>
      <c r="N17" s="34"/>
      <c r="O17" s="40"/>
      <c r="P17" s="36"/>
      <c r="Q17" s="37">
        <v>11</v>
      </c>
      <c r="R17" s="41">
        <f>11</f>
        <v>11</v>
      </c>
      <c r="S17" s="33">
        <f t="shared" si="8"/>
        <v>0</v>
      </c>
      <c r="T17" s="101"/>
      <c r="U17" s="38">
        <f t="shared" si="9"/>
        <v>128</v>
      </c>
    </row>
    <row r="18" spans="1:21" ht="21" x14ac:dyDescent="0.5">
      <c r="A18" s="26" t="s">
        <v>32</v>
      </c>
      <c r="B18" s="95">
        <v>24</v>
      </c>
      <c r="C18" s="28"/>
      <c r="D18" s="29"/>
      <c r="E18" s="30"/>
      <c r="F18" s="30"/>
      <c r="G18" s="30"/>
      <c r="H18" s="30"/>
      <c r="I18" s="31">
        <f t="shared" si="5"/>
        <v>0</v>
      </c>
      <c r="J18" s="32">
        <f t="shared" si="6"/>
        <v>24</v>
      </c>
      <c r="K18" s="41">
        <v>24</v>
      </c>
      <c r="L18" s="33">
        <f t="shared" si="7"/>
        <v>0</v>
      </c>
      <c r="M18" s="31">
        <v>99</v>
      </c>
      <c r="N18" s="34"/>
      <c r="O18" s="40"/>
      <c r="P18" s="53"/>
      <c r="Q18" s="37">
        <v>99</v>
      </c>
      <c r="R18" s="41"/>
      <c r="S18" s="33">
        <f t="shared" si="8"/>
        <v>-99</v>
      </c>
      <c r="T18" s="101"/>
      <c r="U18" s="38">
        <f t="shared" si="9"/>
        <v>123</v>
      </c>
    </row>
    <row r="19" spans="1:21" ht="21" x14ac:dyDescent="0.5">
      <c r="A19" s="26" t="s">
        <v>33</v>
      </c>
      <c r="B19" s="95">
        <v>136</v>
      </c>
      <c r="C19" s="54">
        <v>240</v>
      </c>
      <c r="D19" s="29"/>
      <c r="E19" s="42"/>
      <c r="F19" s="42">
        <v>60</v>
      </c>
      <c r="G19" s="42"/>
      <c r="H19" s="42">
        <v>39</v>
      </c>
      <c r="I19" s="31">
        <f t="shared" si="5"/>
        <v>99</v>
      </c>
      <c r="J19" s="32">
        <f t="shared" si="6"/>
        <v>277</v>
      </c>
      <c r="K19" s="41">
        <f>240+40</f>
        <v>280</v>
      </c>
      <c r="L19" s="33">
        <f t="shared" si="7"/>
        <v>3</v>
      </c>
      <c r="M19" s="31">
        <v>75</v>
      </c>
      <c r="N19" s="34"/>
      <c r="O19" s="40"/>
      <c r="P19" s="53">
        <v>44</v>
      </c>
      <c r="Q19" s="37">
        <v>75</v>
      </c>
      <c r="R19" s="41">
        <v>37</v>
      </c>
      <c r="S19" s="33">
        <f t="shared" si="8"/>
        <v>-38</v>
      </c>
      <c r="T19" s="101"/>
      <c r="U19" s="38">
        <f t="shared" si="9"/>
        <v>352</v>
      </c>
    </row>
    <row r="20" spans="1:21" ht="21" x14ac:dyDescent="0.5">
      <c r="A20" s="26" t="s">
        <v>34</v>
      </c>
      <c r="B20" s="95">
        <v>283</v>
      </c>
      <c r="C20" s="54">
        <v>359</v>
      </c>
      <c r="D20" s="29"/>
      <c r="E20" s="42"/>
      <c r="F20" s="42">
        <f>36+60</f>
        <v>96</v>
      </c>
      <c r="G20" s="42"/>
      <c r="H20" s="42"/>
      <c r="I20" s="31">
        <f t="shared" si="5"/>
        <v>96</v>
      </c>
      <c r="J20" s="32">
        <f t="shared" si="6"/>
        <v>546</v>
      </c>
      <c r="K20" s="41">
        <f>12+60+6</f>
        <v>78</v>
      </c>
      <c r="L20" s="33">
        <f t="shared" si="7"/>
        <v>-468</v>
      </c>
      <c r="M20" s="31">
        <v>227</v>
      </c>
      <c r="N20" s="64">
        <v>239</v>
      </c>
      <c r="O20" s="35">
        <v>9</v>
      </c>
      <c r="P20" s="53">
        <v>147</v>
      </c>
      <c r="Q20" s="37">
        <v>227</v>
      </c>
      <c r="R20" s="41">
        <f>1+264+52</f>
        <v>317</v>
      </c>
      <c r="S20" s="33">
        <f t="shared" si="8"/>
        <v>90</v>
      </c>
      <c r="T20" s="101"/>
      <c r="U20" s="38">
        <f t="shared" si="9"/>
        <v>773</v>
      </c>
    </row>
    <row r="21" spans="1:21" ht="15.75" customHeight="1" x14ac:dyDescent="0.5">
      <c r="A21" s="26" t="s">
        <v>35</v>
      </c>
      <c r="B21" s="95">
        <v>590</v>
      </c>
      <c r="C21" s="54"/>
      <c r="D21" s="39"/>
      <c r="E21" s="42">
        <v>43</v>
      </c>
      <c r="F21" s="42">
        <v>60</v>
      </c>
      <c r="G21" s="42">
        <f>12+10</f>
        <v>22</v>
      </c>
      <c r="H21" s="42">
        <v>104</v>
      </c>
      <c r="I21" s="31">
        <f t="shared" si="5"/>
        <v>229</v>
      </c>
      <c r="J21" s="32">
        <f t="shared" si="6"/>
        <v>361</v>
      </c>
      <c r="K21" s="41">
        <f>276+7</f>
        <v>283</v>
      </c>
      <c r="L21" s="33">
        <f t="shared" si="7"/>
        <v>-78</v>
      </c>
      <c r="M21" s="31">
        <v>240</v>
      </c>
      <c r="N21" s="64"/>
      <c r="O21" s="35">
        <v>4</v>
      </c>
      <c r="P21" s="53">
        <v>157</v>
      </c>
      <c r="Q21" s="37">
        <v>240</v>
      </c>
      <c r="R21" s="41">
        <v>0</v>
      </c>
      <c r="S21" s="33">
        <f t="shared" si="8"/>
        <v>-240</v>
      </c>
      <c r="T21" s="101"/>
      <c r="U21" s="38">
        <f t="shared" si="9"/>
        <v>601</v>
      </c>
    </row>
    <row r="22" spans="1:21" ht="15.75" customHeight="1" x14ac:dyDescent="0.5">
      <c r="A22" s="26" t="s">
        <v>36</v>
      </c>
      <c r="B22" s="95">
        <v>0</v>
      </c>
      <c r="C22" s="28"/>
      <c r="D22" s="29"/>
      <c r="E22" s="30"/>
      <c r="F22" s="30"/>
      <c r="G22" s="30"/>
      <c r="H22" s="30"/>
      <c r="I22" s="31">
        <f t="shared" si="5"/>
        <v>0</v>
      </c>
      <c r="J22" s="32">
        <f t="shared" si="6"/>
        <v>0</v>
      </c>
      <c r="K22" s="41">
        <v>0</v>
      </c>
      <c r="L22" s="33">
        <f t="shared" si="7"/>
        <v>0</v>
      </c>
      <c r="M22" s="31">
        <v>261</v>
      </c>
      <c r="N22" s="64"/>
      <c r="O22" s="35"/>
      <c r="P22" s="53">
        <v>45</v>
      </c>
      <c r="Q22" s="37">
        <v>261</v>
      </c>
      <c r="R22" s="41">
        <v>219</v>
      </c>
      <c r="S22" s="33">
        <f t="shared" si="8"/>
        <v>-42</v>
      </c>
      <c r="T22" s="101"/>
      <c r="U22" s="38">
        <f t="shared" si="9"/>
        <v>261</v>
      </c>
    </row>
    <row r="23" spans="1:21" ht="15.75" customHeight="1" x14ac:dyDescent="0.5">
      <c r="A23" s="26" t="s">
        <v>24</v>
      </c>
      <c r="B23" s="95">
        <v>834</v>
      </c>
      <c r="C23" s="54"/>
      <c r="D23" s="29"/>
      <c r="E23" s="42">
        <v>30</v>
      </c>
      <c r="F23" s="42">
        <v>1</v>
      </c>
      <c r="G23" s="42"/>
      <c r="H23" s="42">
        <v>5</v>
      </c>
      <c r="I23" s="31">
        <f t="shared" si="5"/>
        <v>36</v>
      </c>
      <c r="J23" s="32">
        <f t="shared" si="6"/>
        <v>798</v>
      </c>
      <c r="K23" s="41">
        <f>180+3+684+1</f>
        <v>868</v>
      </c>
      <c r="L23" s="33">
        <f t="shared" si="7"/>
        <v>70</v>
      </c>
      <c r="M23" s="31">
        <v>132</v>
      </c>
      <c r="N23" s="64"/>
      <c r="O23" s="35"/>
      <c r="P23" s="53">
        <v>79</v>
      </c>
      <c r="Q23" s="37">
        <v>132</v>
      </c>
      <c r="R23" s="33">
        <f>58</f>
        <v>58</v>
      </c>
      <c r="S23" s="33">
        <f t="shared" si="8"/>
        <v>-74</v>
      </c>
      <c r="T23" s="101"/>
      <c r="U23" s="38">
        <f t="shared" si="9"/>
        <v>930</v>
      </c>
    </row>
    <row r="24" spans="1:21" ht="15.75" customHeight="1" x14ac:dyDescent="0.5">
      <c r="A24" s="26" t="s">
        <v>37</v>
      </c>
      <c r="B24" s="95">
        <v>120</v>
      </c>
      <c r="C24" s="54">
        <v>156</v>
      </c>
      <c r="D24" s="29"/>
      <c r="E24" s="42"/>
      <c r="F24" s="42">
        <v>60</v>
      </c>
      <c r="G24" s="30"/>
      <c r="H24" s="42">
        <v>20</v>
      </c>
      <c r="I24" s="31">
        <f t="shared" si="5"/>
        <v>80</v>
      </c>
      <c r="J24" s="32">
        <f t="shared" si="6"/>
        <v>196</v>
      </c>
      <c r="K24" s="41">
        <f>242</f>
        <v>242</v>
      </c>
      <c r="L24" s="33">
        <f t="shared" si="7"/>
        <v>46</v>
      </c>
      <c r="M24" s="31">
        <v>91</v>
      </c>
      <c r="N24" s="34"/>
      <c r="O24" s="40"/>
      <c r="P24" s="53">
        <v>23</v>
      </c>
      <c r="Q24" s="37">
        <v>91</v>
      </c>
      <c r="R24" s="41">
        <v>68</v>
      </c>
      <c r="S24" s="33">
        <f t="shared" si="8"/>
        <v>-23</v>
      </c>
      <c r="T24" s="101"/>
      <c r="U24" s="38">
        <f t="shared" si="9"/>
        <v>287</v>
      </c>
    </row>
    <row r="25" spans="1:21" ht="15.75" customHeight="1" x14ac:dyDescent="0.5">
      <c r="A25" s="26" t="s">
        <v>38</v>
      </c>
      <c r="B25" s="95">
        <v>48</v>
      </c>
      <c r="C25" s="28"/>
      <c r="D25" s="29"/>
      <c r="E25" s="30"/>
      <c r="F25" s="30"/>
      <c r="G25" s="30"/>
      <c r="H25" s="30"/>
      <c r="I25" s="31">
        <f t="shared" si="5"/>
        <v>0</v>
      </c>
      <c r="J25" s="32">
        <f t="shared" si="6"/>
        <v>48</v>
      </c>
      <c r="K25" s="41">
        <f>48</f>
        <v>48</v>
      </c>
      <c r="L25" s="33">
        <f t="shared" si="7"/>
        <v>0</v>
      </c>
      <c r="M25" s="31">
        <v>265</v>
      </c>
      <c r="N25" s="34"/>
      <c r="O25" s="40"/>
      <c r="P25" s="53">
        <v>4</v>
      </c>
      <c r="Q25" s="37">
        <v>265</v>
      </c>
      <c r="R25" s="41">
        <v>163</v>
      </c>
      <c r="S25" s="33">
        <f t="shared" si="8"/>
        <v>-102</v>
      </c>
      <c r="T25" s="101"/>
      <c r="U25" s="38">
        <f t="shared" si="9"/>
        <v>313</v>
      </c>
    </row>
    <row r="26" spans="1:21" ht="15.75" customHeight="1" x14ac:dyDescent="0.5">
      <c r="A26" s="26" t="s">
        <v>39</v>
      </c>
      <c r="B26" s="95">
        <v>74</v>
      </c>
      <c r="C26" s="54">
        <v>156</v>
      </c>
      <c r="D26" s="29"/>
      <c r="E26" s="42"/>
      <c r="F26" s="30"/>
      <c r="G26" s="30"/>
      <c r="H26" s="42"/>
      <c r="I26" s="31">
        <f t="shared" si="5"/>
        <v>0</v>
      </c>
      <c r="J26" s="32">
        <f t="shared" si="6"/>
        <v>230</v>
      </c>
      <c r="K26" s="41">
        <f>100+78</f>
        <v>178</v>
      </c>
      <c r="L26" s="33">
        <f t="shared" si="7"/>
        <v>-52</v>
      </c>
      <c r="M26" s="31">
        <v>156</v>
      </c>
      <c r="N26" s="34"/>
      <c r="O26" s="40"/>
      <c r="P26" s="53">
        <v>4</v>
      </c>
      <c r="Q26" s="37">
        <v>156</v>
      </c>
      <c r="R26" s="41">
        <f>60+18+43</f>
        <v>121</v>
      </c>
      <c r="S26" s="33">
        <f t="shared" si="8"/>
        <v>-35</v>
      </c>
      <c r="T26" s="101"/>
      <c r="U26" s="38">
        <f t="shared" si="9"/>
        <v>386</v>
      </c>
    </row>
    <row r="27" spans="1:21" ht="15.75" customHeight="1" x14ac:dyDescent="0.5">
      <c r="A27" s="26" t="s">
        <v>40</v>
      </c>
      <c r="B27" s="95">
        <v>49</v>
      </c>
      <c r="C27" s="28"/>
      <c r="D27" s="29"/>
      <c r="E27" s="42">
        <v>6</v>
      </c>
      <c r="F27" s="30"/>
      <c r="G27" s="30"/>
      <c r="H27" s="42"/>
      <c r="I27" s="31">
        <f t="shared" si="5"/>
        <v>6</v>
      </c>
      <c r="J27" s="32">
        <f t="shared" si="6"/>
        <v>43</v>
      </c>
      <c r="K27" s="41">
        <f>96+7</f>
        <v>103</v>
      </c>
      <c r="L27" s="33">
        <f t="shared" si="7"/>
        <v>60</v>
      </c>
      <c r="M27" s="31">
        <v>-61</v>
      </c>
      <c r="N27" s="34"/>
      <c r="O27" s="35">
        <v>3</v>
      </c>
      <c r="P27" s="53">
        <v>47</v>
      </c>
      <c r="Q27" s="37">
        <v>-61</v>
      </c>
      <c r="R27" s="41">
        <v>306</v>
      </c>
      <c r="S27" s="33">
        <f t="shared" si="8"/>
        <v>367</v>
      </c>
      <c r="T27" s="101"/>
      <c r="U27" s="38">
        <f t="shared" si="9"/>
        <v>-18</v>
      </c>
    </row>
    <row r="28" spans="1:21" ht="15.75" customHeight="1" x14ac:dyDescent="0.5">
      <c r="A28" s="15" t="s">
        <v>41</v>
      </c>
      <c r="B28" s="62"/>
      <c r="C28" s="57"/>
      <c r="D28" s="58"/>
      <c r="E28" s="59"/>
      <c r="F28" s="59"/>
      <c r="G28" s="59"/>
      <c r="H28" s="59"/>
      <c r="I28" s="59"/>
      <c r="J28" s="21"/>
      <c r="K28" s="103"/>
      <c r="L28" s="49"/>
      <c r="M28" s="21"/>
      <c r="N28" s="60"/>
      <c r="O28" s="61"/>
      <c r="P28" s="59"/>
      <c r="Q28" s="47"/>
      <c r="R28" s="49"/>
      <c r="S28" s="49"/>
      <c r="T28" s="49"/>
      <c r="U28" s="47"/>
    </row>
    <row r="29" spans="1:21" ht="15.75" customHeight="1" x14ac:dyDescent="0.5">
      <c r="A29" s="26" t="s">
        <v>20</v>
      </c>
      <c r="B29" s="95">
        <v>120</v>
      </c>
      <c r="C29" s="28"/>
      <c r="D29" s="29"/>
      <c r="E29" s="30"/>
      <c r="F29" s="30"/>
      <c r="G29" s="30"/>
      <c r="H29" s="30"/>
      <c r="I29" s="31">
        <f t="shared" ref="I29:I35" si="10">SUM(E29:H29)</f>
        <v>0</v>
      </c>
      <c r="J29" s="32">
        <f t="shared" ref="J29:J35" si="11">B29-I29+C29+D29</f>
        <v>120</v>
      </c>
      <c r="K29" s="41">
        <v>120</v>
      </c>
      <c r="L29" s="33">
        <f t="shared" ref="L29:L35" si="12">K29-J29</f>
        <v>0</v>
      </c>
      <c r="M29" s="31">
        <v>0</v>
      </c>
      <c r="N29" s="34"/>
      <c r="O29" s="40"/>
      <c r="P29" s="36"/>
      <c r="Q29" s="37">
        <v>0</v>
      </c>
      <c r="R29" s="33">
        <v>0</v>
      </c>
      <c r="S29" s="33">
        <f t="shared" ref="S29:S35" si="13">R29-Q29</f>
        <v>0</v>
      </c>
      <c r="T29" s="101"/>
      <c r="U29" s="38">
        <f t="shared" ref="U29:U35" si="14">J29+Q29</f>
        <v>120</v>
      </c>
    </row>
    <row r="30" spans="1:21" ht="15.75" customHeight="1" x14ac:dyDescent="0.5">
      <c r="A30" s="26" t="s">
        <v>21</v>
      </c>
      <c r="B30" s="95">
        <v>0</v>
      </c>
      <c r="C30" s="28"/>
      <c r="D30" s="29"/>
      <c r="E30" s="30"/>
      <c r="F30" s="30"/>
      <c r="G30" s="30"/>
      <c r="H30" s="30"/>
      <c r="I30" s="31">
        <f t="shared" si="10"/>
        <v>0</v>
      </c>
      <c r="J30" s="32">
        <f t="shared" si="11"/>
        <v>0</v>
      </c>
      <c r="K30" s="41"/>
      <c r="L30" s="33">
        <f t="shared" si="12"/>
        <v>0</v>
      </c>
      <c r="M30" s="31">
        <v>0</v>
      </c>
      <c r="N30" s="34"/>
      <c r="O30" s="40"/>
      <c r="P30" s="36"/>
      <c r="Q30" s="37">
        <v>0</v>
      </c>
      <c r="R30" s="33">
        <v>0</v>
      </c>
      <c r="S30" s="33">
        <f t="shared" si="13"/>
        <v>0</v>
      </c>
      <c r="T30" s="101"/>
      <c r="U30" s="38">
        <f t="shared" si="14"/>
        <v>0</v>
      </c>
    </row>
    <row r="31" spans="1:21" ht="15.75" customHeight="1" x14ac:dyDescent="0.5">
      <c r="A31" s="26" t="s">
        <v>42</v>
      </c>
      <c r="B31" s="95">
        <v>0</v>
      </c>
      <c r="C31" s="28"/>
      <c r="D31" s="29"/>
      <c r="E31" s="30"/>
      <c r="F31" s="30"/>
      <c r="G31" s="30"/>
      <c r="H31" s="30"/>
      <c r="I31" s="31">
        <f t="shared" si="10"/>
        <v>0</v>
      </c>
      <c r="J31" s="32">
        <f t="shared" si="11"/>
        <v>0</v>
      </c>
      <c r="K31" s="41"/>
      <c r="L31" s="33">
        <f t="shared" si="12"/>
        <v>0</v>
      </c>
      <c r="M31" s="31">
        <v>0</v>
      </c>
      <c r="N31" s="34"/>
      <c r="O31" s="40"/>
      <c r="P31" s="36"/>
      <c r="Q31" s="37">
        <v>0</v>
      </c>
      <c r="R31" s="33">
        <v>0</v>
      </c>
      <c r="S31" s="33">
        <f t="shared" si="13"/>
        <v>0</v>
      </c>
      <c r="T31" s="101"/>
      <c r="U31" s="38">
        <f t="shared" si="14"/>
        <v>0</v>
      </c>
    </row>
    <row r="32" spans="1:21" ht="15.75" customHeight="1" x14ac:dyDescent="0.5">
      <c r="A32" s="26" t="s">
        <v>22</v>
      </c>
      <c r="B32" s="95">
        <v>0</v>
      </c>
      <c r="C32" s="28"/>
      <c r="D32" s="29"/>
      <c r="E32" s="30"/>
      <c r="F32" s="30"/>
      <c r="G32" s="30"/>
      <c r="H32" s="42">
        <v>5</v>
      </c>
      <c r="I32" s="31">
        <f t="shared" si="10"/>
        <v>5</v>
      </c>
      <c r="J32" s="32">
        <f t="shared" si="11"/>
        <v>-5</v>
      </c>
      <c r="K32" s="41"/>
      <c r="L32" s="33">
        <f t="shared" si="12"/>
        <v>5</v>
      </c>
      <c r="M32" s="31">
        <v>0</v>
      </c>
      <c r="N32" s="34"/>
      <c r="O32" s="40"/>
      <c r="P32" s="36"/>
      <c r="Q32" s="37">
        <v>0</v>
      </c>
      <c r="R32" s="33">
        <v>0</v>
      </c>
      <c r="S32" s="33">
        <f t="shared" si="13"/>
        <v>0</v>
      </c>
      <c r="T32" s="101"/>
      <c r="U32" s="38">
        <f t="shared" si="14"/>
        <v>-5</v>
      </c>
    </row>
    <row r="33" spans="1:21" ht="15.75" customHeight="1" x14ac:dyDescent="0.5">
      <c r="A33" s="26" t="s">
        <v>23</v>
      </c>
      <c r="B33" s="95">
        <v>390</v>
      </c>
      <c r="C33" s="28"/>
      <c r="D33" s="29"/>
      <c r="E33" s="42"/>
      <c r="F33" s="30"/>
      <c r="G33" s="30"/>
      <c r="H33" s="42">
        <v>101</v>
      </c>
      <c r="I33" s="31">
        <f t="shared" si="10"/>
        <v>101</v>
      </c>
      <c r="J33" s="32">
        <f t="shared" si="11"/>
        <v>289</v>
      </c>
      <c r="K33" s="41">
        <v>301</v>
      </c>
      <c r="L33" s="33">
        <f t="shared" si="12"/>
        <v>12</v>
      </c>
      <c r="M33" s="31">
        <v>7</v>
      </c>
      <c r="N33" s="34"/>
      <c r="O33" s="35"/>
      <c r="P33" s="53">
        <v>1</v>
      </c>
      <c r="Q33" s="37">
        <v>7</v>
      </c>
      <c r="R33" s="41">
        <v>6</v>
      </c>
      <c r="S33" s="33">
        <f t="shared" si="13"/>
        <v>-1</v>
      </c>
      <c r="T33" s="101"/>
      <c r="U33" s="38">
        <f t="shared" si="14"/>
        <v>296</v>
      </c>
    </row>
    <row r="34" spans="1:21" ht="15.75" customHeight="1" x14ac:dyDescent="0.5">
      <c r="A34" s="26" t="s">
        <v>25</v>
      </c>
      <c r="B34" s="95">
        <v>33</v>
      </c>
      <c r="C34" s="28"/>
      <c r="D34" s="39"/>
      <c r="E34" s="42">
        <v>24</v>
      </c>
      <c r="F34" s="42">
        <v>10</v>
      </c>
      <c r="G34" s="42"/>
      <c r="H34" s="30"/>
      <c r="I34" s="31">
        <f t="shared" si="10"/>
        <v>34</v>
      </c>
      <c r="J34" s="32">
        <f t="shared" si="11"/>
        <v>-1</v>
      </c>
      <c r="K34" s="41">
        <f>12+256+6</f>
        <v>274</v>
      </c>
      <c r="L34" s="33">
        <f t="shared" si="12"/>
        <v>275</v>
      </c>
      <c r="M34" s="31">
        <v>110</v>
      </c>
      <c r="N34" s="64"/>
      <c r="O34" s="35"/>
      <c r="P34" s="53">
        <v>26</v>
      </c>
      <c r="Q34" s="37">
        <v>110</v>
      </c>
      <c r="R34" s="41">
        <v>86</v>
      </c>
      <c r="S34" s="33">
        <f t="shared" si="13"/>
        <v>-24</v>
      </c>
      <c r="T34" s="101"/>
      <c r="U34" s="38">
        <f t="shared" si="14"/>
        <v>109</v>
      </c>
    </row>
    <row r="35" spans="1:21" ht="15.75" customHeight="1" x14ac:dyDescent="0.5">
      <c r="A35" s="26" t="s">
        <v>26</v>
      </c>
      <c r="B35" s="95">
        <v>37</v>
      </c>
      <c r="C35" s="28"/>
      <c r="D35" s="29"/>
      <c r="E35" s="42">
        <v>6</v>
      </c>
      <c r="F35" s="30"/>
      <c r="G35" s="30"/>
      <c r="H35" s="30"/>
      <c r="I35" s="31">
        <f t="shared" si="10"/>
        <v>6</v>
      </c>
      <c r="J35" s="32">
        <f t="shared" si="11"/>
        <v>31</v>
      </c>
      <c r="K35" s="41">
        <v>54</v>
      </c>
      <c r="L35" s="33">
        <f t="shared" si="12"/>
        <v>23</v>
      </c>
      <c r="M35" s="31">
        <v>-4</v>
      </c>
      <c r="N35" s="34"/>
      <c r="O35" s="40"/>
      <c r="P35" s="53">
        <v>3</v>
      </c>
      <c r="Q35" s="37">
        <v>-4</v>
      </c>
      <c r="R35" s="41">
        <v>10</v>
      </c>
      <c r="S35" s="33">
        <f t="shared" si="13"/>
        <v>14</v>
      </c>
      <c r="T35" s="101"/>
      <c r="U35" s="38">
        <f t="shared" si="14"/>
        <v>27</v>
      </c>
    </row>
    <row r="36" spans="1:21" ht="15.75" customHeight="1" x14ac:dyDescent="0.5">
      <c r="A36" s="15" t="s">
        <v>43</v>
      </c>
      <c r="B36" s="62"/>
      <c r="C36" s="57"/>
      <c r="D36" s="58"/>
      <c r="E36" s="59"/>
      <c r="F36" s="59"/>
      <c r="G36" s="59"/>
      <c r="H36" s="59"/>
      <c r="I36" s="59"/>
      <c r="J36" s="21"/>
      <c r="K36" s="49"/>
      <c r="L36" s="49"/>
      <c r="M36" s="21"/>
      <c r="N36" s="60"/>
      <c r="O36" s="61"/>
      <c r="P36" s="59"/>
      <c r="Q36" s="47"/>
      <c r="R36" s="49"/>
      <c r="S36" s="49"/>
      <c r="T36" s="49"/>
      <c r="U36" s="47"/>
    </row>
    <row r="37" spans="1:21" ht="15.75" customHeight="1" x14ac:dyDescent="0.5">
      <c r="A37" s="26" t="s">
        <v>29</v>
      </c>
      <c r="B37" s="95">
        <v>311</v>
      </c>
      <c r="C37" s="63"/>
      <c r="D37" s="39">
        <v>5</v>
      </c>
      <c r="E37" s="42"/>
      <c r="F37" s="42">
        <v>40</v>
      </c>
      <c r="G37" s="42"/>
      <c r="H37" s="42"/>
      <c r="I37" s="31">
        <f t="shared" ref="I37:I51" si="15">SUM(E37:H37)</f>
        <v>40</v>
      </c>
      <c r="J37" s="32">
        <f t="shared" ref="J37:J51" si="16">B37-I37+C37+D37</f>
        <v>276</v>
      </c>
      <c r="K37" s="41">
        <f>96+79+100+196+23</f>
        <v>494</v>
      </c>
      <c r="L37" s="33">
        <f t="shared" ref="L37:L51" si="17">K37-J37</f>
        <v>218</v>
      </c>
      <c r="M37" s="31">
        <v>138</v>
      </c>
      <c r="N37" s="64"/>
      <c r="O37" s="35">
        <v>1</v>
      </c>
      <c r="P37" s="53">
        <v>69</v>
      </c>
      <c r="Q37" s="37">
        <v>138</v>
      </c>
      <c r="R37" s="41">
        <v>29</v>
      </c>
      <c r="S37" s="33">
        <f t="shared" ref="S37:S51" si="18">R37-Q37</f>
        <v>-109</v>
      </c>
      <c r="T37" s="101"/>
      <c r="U37" s="38">
        <f t="shared" ref="U37:U51" si="19">J37+Q37</f>
        <v>414</v>
      </c>
    </row>
    <row r="38" spans="1:21" ht="15.75" customHeight="1" x14ac:dyDescent="0.5">
      <c r="A38" s="26" t="s">
        <v>44</v>
      </c>
      <c r="B38" s="95">
        <v>155</v>
      </c>
      <c r="C38" s="55"/>
      <c r="D38" s="29"/>
      <c r="E38" s="42"/>
      <c r="F38" s="42"/>
      <c r="G38" s="42"/>
      <c r="H38" s="30"/>
      <c r="I38" s="31">
        <f t="shared" si="15"/>
        <v>0</v>
      </c>
      <c r="J38" s="32">
        <f t="shared" si="16"/>
        <v>155</v>
      </c>
      <c r="K38" s="41">
        <f>24+14+72</f>
        <v>110</v>
      </c>
      <c r="L38" s="33">
        <f t="shared" si="17"/>
        <v>-45</v>
      </c>
      <c r="M38" s="31">
        <v>91</v>
      </c>
      <c r="N38" s="64"/>
      <c r="O38" s="40"/>
      <c r="P38" s="53">
        <v>5</v>
      </c>
      <c r="Q38" s="37">
        <v>91</v>
      </c>
      <c r="R38" s="33">
        <v>110</v>
      </c>
      <c r="S38" s="33">
        <f t="shared" si="18"/>
        <v>19</v>
      </c>
      <c r="T38" s="101"/>
      <c r="U38" s="38">
        <f t="shared" si="19"/>
        <v>246</v>
      </c>
    </row>
    <row r="39" spans="1:21" ht="15.75" customHeight="1" x14ac:dyDescent="0.5">
      <c r="A39" s="26" t="s">
        <v>30</v>
      </c>
      <c r="B39" s="95">
        <v>1646</v>
      </c>
      <c r="C39" s="55">
        <v>168</v>
      </c>
      <c r="D39" s="29"/>
      <c r="E39" s="42">
        <v>38</v>
      </c>
      <c r="F39" s="42">
        <f>60+10</f>
        <v>70</v>
      </c>
      <c r="G39" s="42"/>
      <c r="H39" s="42">
        <v>10</v>
      </c>
      <c r="I39" s="31">
        <f t="shared" si="15"/>
        <v>118</v>
      </c>
      <c r="J39" s="32">
        <f t="shared" si="16"/>
        <v>1696</v>
      </c>
      <c r="K39" s="41">
        <f>480+360+12+312+97+10+120+17+188</f>
        <v>1596</v>
      </c>
      <c r="L39" s="33">
        <f t="shared" si="17"/>
        <v>-100</v>
      </c>
      <c r="M39" s="31">
        <v>82</v>
      </c>
      <c r="N39" s="64">
        <v>168</v>
      </c>
      <c r="O39" s="35">
        <v>1</v>
      </c>
      <c r="P39" s="53">
        <v>138</v>
      </c>
      <c r="Q39" s="37">
        <v>82</v>
      </c>
      <c r="R39" s="33">
        <v>87</v>
      </c>
      <c r="S39" s="33">
        <f t="shared" si="18"/>
        <v>5</v>
      </c>
      <c r="T39" s="101"/>
      <c r="U39" s="38">
        <f t="shared" si="19"/>
        <v>1778</v>
      </c>
    </row>
    <row r="40" spans="1:21" ht="15.75" customHeight="1" x14ac:dyDescent="0.5">
      <c r="A40" s="26" t="s">
        <v>31</v>
      </c>
      <c r="B40" s="95">
        <v>243</v>
      </c>
      <c r="C40" s="63"/>
      <c r="D40" s="29"/>
      <c r="E40" s="30"/>
      <c r="F40" s="42"/>
      <c r="G40" s="42"/>
      <c r="H40" s="30"/>
      <c r="I40" s="31">
        <f t="shared" si="15"/>
        <v>0</v>
      </c>
      <c r="J40" s="32">
        <f t="shared" si="16"/>
        <v>243</v>
      </c>
      <c r="K40" s="41">
        <f>120+72+21</f>
        <v>213</v>
      </c>
      <c r="L40" s="33">
        <f t="shared" si="17"/>
        <v>-30</v>
      </c>
      <c r="M40" s="31">
        <v>42</v>
      </c>
      <c r="N40" s="34"/>
      <c r="O40" s="35"/>
      <c r="P40" s="53">
        <v>6</v>
      </c>
      <c r="Q40" s="37">
        <v>42</v>
      </c>
      <c r="R40" s="33">
        <v>86</v>
      </c>
      <c r="S40" s="33">
        <f t="shared" si="18"/>
        <v>44</v>
      </c>
      <c r="T40" s="101"/>
      <c r="U40" s="38">
        <f t="shared" si="19"/>
        <v>285</v>
      </c>
    </row>
    <row r="41" spans="1:21" ht="15.75" customHeight="1" x14ac:dyDescent="0.5">
      <c r="A41" s="26" t="s">
        <v>32</v>
      </c>
      <c r="B41" s="95">
        <v>52</v>
      </c>
      <c r="C41" s="55">
        <v>210</v>
      </c>
      <c r="D41" s="29"/>
      <c r="E41" s="30"/>
      <c r="F41" s="30"/>
      <c r="G41" s="30"/>
      <c r="H41" s="30"/>
      <c r="I41" s="31">
        <f t="shared" si="15"/>
        <v>0</v>
      </c>
      <c r="J41" s="32">
        <f t="shared" si="16"/>
        <v>262</v>
      </c>
      <c r="K41" s="41">
        <f>104</f>
        <v>104</v>
      </c>
      <c r="L41" s="33">
        <f t="shared" si="17"/>
        <v>-158</v>
      </c>
      <c r="M41" s="31">
        <v>63</v>
      </c>
      <c r="N41" s="64">
        <v>160</v>
      </c>
      <c r="O41" s="40"/>
      <c r="P41" s="53">
        <v>43</v>
      </c>
      <c r="Q41" s="37">
        <v>63</v>
      </c>
      <c r="R41" s="33">
        <v>182</v>
      </c>
      <c r="S41" s="33">
        <f t="shared" si="18"/>
        <v>119</v>
      </c>
      <c r="T41" s="101"/>
      <c r="U41" s="38">
        <f t="shared" si="19"/>
        <v>325</v>
      </c>
    </row>
    <row r="42" spans="1:21" ht="15.75" customHeight="1" x14ac:dyDescent="0.5">
      <c r="A42" s="26" t="s">
        <v>33</v>
      </c>
      <c r="B42" s="95">
        <v>215</v>
      </c>
      <c r="C42" s="55">
        <v>341</v>
      </c>
      <c r="D42" s="39">
        <v>2</v>
      </c>
      <c r="E42" s="42"/>
      <c r="F42" s="42">
        <v>20</v>
      </c>
      <c r="G42" s="42">
        <v>10</v>
      </c>
      <c r="H42" s="42">
        <v>5</v>
      </c>
      <c r="I42" s="31">
        <f t="shared" si="15"/>
        <v>35</v>
      </c>
      <c r="J42" s="32">
        <f t="shared" si="16"/>
        <v>523</v>
      </c>
      <c r="K42" s="41">
        <f>127+120+96+8</f>
        <v>351</v>
      </c>
      <c r="L42" s="33">
        <f t="shared" si="17"/>
        <v>-172</v>
      </c>
      <c r="M42" s="31">
        <v>67</v>
      </c>
      <c r="N42" s="64">
        <v>207</v>
      </c>
      <c r="O42" s="35">
        <v>1</v>
      </c>
      <c r="P42" s="53">
        <v>62</v>
      </c>
      <c r="Q42" s="37">
        <v>67</v>
      </c>
      <c r="R42" s="33">
        <v>214</v>
      </c>
      <c r="S42" s="33">
        <f t="shared" si="18"/>
        <v>147</v>
      </c>
      <c r="T42" s="101"/>
      <c r="U42" s="38">
        <f t="shared" si="19"/>
        <v>590</v>
      </c>
    </row>
    <row r="43" spans="1:21" ht="15.75" customHeight="1" x14ac:dyDescent="0.5">
      <c r="A43" s="26" t="s">
        <v>34</v>
      </c>
      <c r="B43" s="95">
        <v>284</v>
      </c>
      <c r="C43" s="55">
        <v>96</v>
      </c>
      <c r="D43" s="29"/>
      <c r="E43" s="42"/>
      <c r="F43" s="42">
        <f>40+5</f>
        <v>45</v>
      </c>
      <c r="G43" s="42">
        <v>10</v>
      </c>
      <c r="H43" s="42">
        <v>5</v>
      </c>
      <c r="I43" s="31">
        <f t="shared" si="15"/>
        <v>60</v>
      </c>
      <c r="J43" s="32">
        <f t="shared" si="16"/>
        <v>320</v>
      </c>
      <c r="K43" s="41">
        <f>50+104</f>
        <v>154</v>
      </c>
      <c r="L43" s="33">
        <f t="shared" si="17"/>
        <v>-166</v>
      </c>
      <c r="M43" s="31">
        <v>198</v>
      </c>
      <c r="N43" s="64">
        <v>96</v>
      </c>
      <c r="O43" s="35">
        <v>1</v>
      </c>
      <c r="P43" s="53">
        <v>113</v>
      </c>
      <c r="Q43" s="37">
        <v>198</v>
      </c>
      <c r="R43" s="33">
        <v>181</v>
      </c>
      <c r="S43" s="33">
        <f t="shared" si="18"/>
        <v>-17</v>
      </c>
      <c r="T43" s="101"/>
      <c r="U43" s="38">
        <f t="shared" si="19"/>
        <v>518</v>
      </c>
    </row>
    <row r="44" spans="1:21" ht="15.75" customHeight="1" x14ac:dyDescent="0.5">
      <c r="A44" s="26" t="s">
        <v>23</v>
      </c>
      <c r="B44" s="95">
        <v>184</v>
      </c>
      <c r="C44" s="55"/>
      <c r="D44" s="29"/>
      <c r="E44" s="30"/>
      <c r="F44" s="30"/>
      <c r="G44" s="30"/>
      <c r="H44" s="30"/>
      <c r="I44" s="31">
        <f t="shared" si="15"/>
        <v>0</v>
      </c>
      <c r="J44" s="32">
        <f t="shared" si="16"/>
        <v>184</v>
      </c>
      <c r="K44" s="41">
        <f>120+77</f>
        <v>197</v>
      </c>
      <c r="L44" s="33">
        <f t="shared" si="17"/>
        <v>13</v>
      </c>
      <c r="M44" s="31">
        <v>70</v>
      </c>
      <c r="N44" s="64"/>
      <c r="O44" s="35"/>
      <c r="P44" s="53">
        <v>35</v>
      </c>
      <c r="Q44" s="37">
        <v>70</v>
      </c>
      <c r="R44" s="33">
        <v>33</v>
      </c>
      <c r="S44" s="33">
        <f t="shared" si="18"/>
        <v>-37</v>
      </c>
      <c r="T44" s="101"/>
      <c r="U44" s="38">
        <f t="shared" si="19"/>
        <v>254</v>
      </c>
    </row>
    <row r="45" spans="1:21" ht="15.75" customHeight="1" x14ac:dyDescent="0.5">
      <c r="A45" s="26" t="s">
        <v>35</v>
      </c>
      <c r="B45" s="95">
        <v>1359</v>
      </c>
      <c r="C45" s="55"/>
      <c r="D45" s="39">
        <v>10</v>
      </c>
      <c r="E45" s="42">
        <v>11</v>
      </c>
      <c r="F45" s="42">
        <f>40+20+8</f>
        <v>68</v>
      </c>
      <c r="G45" s="42">
        <f>40+5</f>
        <v>45</v>
      </c>
      <c r="H45" s="42">
        <v>43</v>
      </c>
      <c r="I45" s="31">
        <f t="shared" si="15"/>
        <v>167</v>
      </c>
      <c r="J45" s="32">
        <f t="shared" si="16"/>
        <v>1202</v>
      </c>
      <c r="K45" s="41">
        <f>132+80+496+300</f>
        <v>1008</v>
      </c>
      <c r="L45" s="33">
        <f t="shared" si="17"/>
        <v>-194</v>
      </c>
      <c r="M45" s="31">
        <v>314</v>
      </c>
      <c r="N45" s="64">
        <v>172</v>
      </c>
      <c r="O45" s="35">
        <v>6</v>
      </c>
      <c r="P45" s="53">
        <v>167</v>
      </c>
      <c r="Q45" s="37">
        <v>314</v>
      </c>
      <c r="R45" s="41">
        <v>152</v>
      </c>
      <c r="S45" s="33">
        <f t="shared" si="18"/>
        <v>-162</v>
      </c>
      <c r="T45" s="101"/>
      <c r="U45" s="38">
        <f t="shared" si="19"/>
        <v>1516</v>
      </c>
    </row>
    <row r="46" spans="1:21" ht="15.75" customHeight="1" x14ac:dyDescent="0.5">
      <c r="A46" s="26" t="s">
        <v>36</v>
      </c>
      <c r="B46" s="95">
        <v>146</v>
      </c>
      <c r="C46" s="55"/>
      <c r="D46" s="29"/>
      <c r="E46" s="30"/>
      <c r="F46" s="42"/>
      <c r="G46" s="42"/>
      <c r="H46" s="42"/>
      <c r="I46" s="31">
        <f t="shared" si="15"/>
        <v>0</v>
      </c>
      <c r="J46" s="32">
        <f t="shared" si="16"/>
        <v>146</v>
      </c>
      <c r="K46" s="41">
        <f>96+48+2</f>
        <v>146</v>
      </c>
      <c r="L46" s="33">
        <f t="shared" si="17"/>
        <v>0</v>
      </c>
      <c r="M46" s="31">
        <v>63</v>
      </c>
      <c r="N46" s="34"/>
      <c r="O46" s="40"/>
      <c r="P46" s="53">
        <v>14</v>
      </c>
      <c r="Q46" s="37">
        <v>63</v>
      </c>
      <c r="R46" s="41">
        <v>57</v>
      </c>
      <c r="S46" s="33">
        <f t="shared" si="18"/>
        <v>-6</v>
      </c>
      <c r="T46" s="101"/>
      <c r="U46" s="38">
        <f t="shared" si="19"/>
        <v>209</v>
      </c>
    </row>
    <row r="47" spans="1:21" ht="15.75" customHeight="1" x14ac:dyDescent="0.5">
      <c r="A47" s="26" t="s">
        <v>24</v>
      </c>
      <c r="B47" s="95">
        <v>941</v>
      </c>
      <c r="C47" s="55">
        <v>626</v>
      </c>
      <c r="D47" s="39"/>
      <c r="E47" s="42">
        <v>27</v>
      </c>
      <c r="F47" s="42">
        <v>20</v>
      </c>
      <c r="G47" s="42">
        <v>5</v>
      </c>
      <c r="H47" s="42">
        <v>3</v>
      </c>
      <c r="I47" s="31">
        <f t="shared" si="15"/>
        <v>55</v>
      </c>
      <c r="J47" s="32">
        <f t="shared" si="16"/>
        <v>1512</v>
      </c>
      <c r="K47" s="41">
        <f>96+16+120+96+20+28</f>
        <v>376</v>
      </c>
      <c r="L47" s="33">
        <f t="shared" si="17"/>
        <v>-1136</v>
      </c>
      <c r="M47" s="31">
        <v>1209</v>
      </c>
      <c r="N47" s="64">
        <v>419</v>
      </c>
      <c r="O47" s="35">
        <v>5</v>
      </c>
      <c r="P47" s="53">
        <v>398</v>
      </c>
      <c r="Q47" s="37">
        <v>1209</v>
      </c>
      <c r="R47" s="33">
        <v>1136</v>
      </c>
      <c r="S47" s="33">
        <f t="shared" si="18"/>
        <v>-73</v>
      </c>
      <c r="T47" s="101"/>
      <c r="U47" s="38">
        <f t="shared" si="19"/>
        <v>2721</v>
      </c>
    </row>
    <row r="48" spans="1:21" ht="15.75" customHeight="1" x14ac:dyDescent="0.5">
      <c r="A48" s="26" t="s">
        <v>37</v>
      </c>
      <c r="B48" s="95">
        <v>292</v>
      </c>
      <c r="C48" s="55">
        <v>501</v>
      </c>
      <c r="D48" s="29"/>
      <c r="E48" s="42">
        <v>12</v>
      </c>
      <c r="F48" s="42">
        <v>60</v>
      </c>
      <c r="G48" s="42">
        <v>10</v>
      </c>
      <c r="H48" s="42">
        <v>14</v>
      </c>
      <c r="I48" s="31">
        <f t="shared" si="15"/>
        <v>96</v>
      </c>
      <c r="J48" s="32">
        <f t="shared" si="16"/>
        <v>697</v>
      </c>
      <c r="K48" s="41">
        <f>117</f>
        <v>117</v>
      </c>
      <c r="L48" s="33">
        <f t="shared" si="17"/>
        <v>-580</v>
      </c>
      <c r="M48" s="31">
        <v>-26</v>
      </c>
      <c r="N48" s="64"/>
      <c r="O48" s="35">
        <v>3</v>
      </c>
      <c r="P48" s="53">
        <v>99</v>
      </c>
      <c r="Q48" s="37">
        <v>-26</v>
      </c>
      <c r="R48" s="33">
        <v>160</v>
      </c>
      <c r="S48" s="33">
        <f t="shared" si="18"/>
        <v>186</v>
      </c>
      <c r="T48" s="101"/>
      <c r="U48" s="38">
        <f t="shared" si="19"/>
        <v>671</v>
      </c>
    </row>
    <row r="49" spans="1:21" ht="15.75" customHeight="1" x14ac:dyDescent="0.5">
      <c r="A49" s="26" t="s">
        <v>38</v>
      </c>
      <c r="B49" s="95">
        <v>217</v>
      </c>
      <c r="C49" s="63"/>
      <c r="D49" s="29"/>
      <c r="E49" s="42"/>
      <c r="F49" s="42">
        <v>1</v>
      </c>
      <c r="G49" s="42"/>
      <c r="H49" s="30"/>
      <c r="I49" s="31">
        <f t="shared" si="15"/>
        <v>1</v>
      </c>
      <c r="J49" s="32">
        <f t="shared" si="16"/>
        <v>216</v>
      </c>
      <c r="K49" s="41">
        <f>24+23</f>
        <v>47</v>
      </c>
      <c r="L49" s="33">
        <f t="shared" si="17"/>
        <v>-169</v>
      </c>
      <c r="M49" s="31">
        <v>28</v>
      </c>
      <c r="N49" s="64">
        <v>77</v>
      </c>
      <c r="O49" s="35">
        <v>2</v>
      </c>
      <c r="P49" s="53">
        <v>25</v>
      </c>
      <c r="Q49" s="37">
        <v>28</v>
      </c>
      <c r="R49" s="33">
        <v>175</v>
      </c>
      <c r="S49" s="33">
        <f t="shared" si="18"/>
        <v>147</v>
      </c>
      <c r="T49" s="101"/>
      <c r="U49" s="38">
        <f t="shared" si="19"/>
        <v>244</v>
      </c>
    </row>
    <row r="50" spans="1:21" ht="15.75" customHeight="1" x14ac:dyDescent="0.5">
      <c r="A50" s="26" t="s">
        <v>39</v>
      </c>
      <c r="B50" s="95">
        <v>347</v>
      </c>
      <c r="C50" s="54">
        <v>139</v>
      </c>
      <c r="D50" s="29"/>
      <c r="E50" s="42"/>
      <c r="F50" s="30"/>
      <c r="G50" s="30"/>
      <c r="H50" s="30"/>
      <c r="I50" s="31">
        <f t="shared" si="15"/>
        <v>0</v>
      </c>
      <c r="J50" s="32">
        <f t="shared" si="16"/>
        <v>486</v>
      </c>
      <c r="K50" s="41">
        <f>36+48+280</f>
        <v>364</v>
      </c>
      <c r="L50" s="33">
        <f t="shared" si="17"/>
        <v>-122</v>
      </c>
      <c r="M50" s="31">
        <v>54</v>
      </c>
      <c r="N50" s="34"/>
      <c r="O50" s="35"/>
      <c r="P50" s="53">
        <v>39</v>
      </c>
      <c r="Q50" s="37">
        <v>54</v>
      </c>
      <c r="R50" s="33">
        <v>157</v>
      </c>
      <c r="S50" s="33">
        <f t="shared" si="18"/>
        <v>103</v>
      </c>
      <c r="T50" s="101"/>
      <c r="U50" s="38">
        <f t="shared" si="19"/>
        <v>540</v>
      </c>
    </row>
    <row r="51" spans="1:21" ht="15.75" customHeight="1" x14ac:dyDescent="0.5">
      <c r="A51" s="26" t="s">
        <v>40</v>
      </c>
      <c r="B51" s="95">
        <v>0</v>
      </c>
      <c r="C51" s="28"/>
      <c r="D51" s="29"/>
      <c r="E51" s="30"/>
      <c r="F51" s="30"/>
      <c r="G51" s="30"/>
      <c r="H51" s="30"/>
      <c r="I51" s="31">
        <f t="shared" si="15"/>
        <v>0</v>
      </c>
      <c r="J51" s="32">
        <f t="shared" si="16"/>
        <v>0</v>
      </c>
      <c r="K51" s="41">
        <f>306</f>
        <v>306</v>
      </c>
      <c r="L51" s="33">
        <f t="shared" si="17"/>
        <v>306</v>
      </c>
      <c r="M51" s="31">
        <v>31</v>
      </c>
      <c r="N51" s="34"/>
      <c r="O51" s="35">
        <v>2</v>
      </c>
      <c r="P51" s="53">
        <v>31</v>
      </c>
      <c r="Q51" s="37">
        <v>31</v>
      </c>
      <c r="R51" s="41">
        <v>103</v>
      </c>
      <c r="S51" s="33">
        <f t="shared" si="18"/>
        <v>72</v>
      </c>
      <c r="T51" s="101"/>
      <c r="U51" s="38">
        <f t="shared" si="19"/>
        <v>31</v>
      </c>
    </row>
    <row r="52" spans="1:21" ht="15.75" customHeight="1" x14ac:dyDescent="0.5">
      <c r="A52" s="65" t="s">
        <v>45</v>
      </c>
      <c r="B52" s="66"/>
      <c r="C52" s="67"/>
      <c r="D52" s="58"/>
      <c r="E52" s="59"/>
      <c r="F52" s="59"/>
      <c r="G52" s="59"/>
      <c r="H52" s="59"/>
      <c r="I52" s="59"/>
      <c r="J52" s="21"/>
      <c r="K52" s="49"/>
      <c r="L52" s="49"/>
      <c r="M52" s="21"/>
      <c r="N52" s="60"/>
      <c r="O52" s="61"/>
      <c r="P52" s="59"/>
      <c r="Q52" s="21"/>
      <c r="R52" s="103"/>
      <c r="S52" s="49"/>
      <c r="T52" s="49"/>
      <c r="U52" s="21"/>
    </row>
    <row r="53" spans="1:21" ht="15.75" customHeight="1" x14ac:dyDescent="0.5">
      <c r="A53" s="26" t="s">
        <v>20</v>
      </c>
      <c r="B53" s="95">
        <v>0</v>
      </c>
      <c r="C53" s="28"/>
      <c r="D53" s="29"/>
      <c r="E53" s="30"/>
      <c r="F53" s="42"/>
      <c r="G53" s="42"/>
      <c r="H53" s="42">
        <v>40</v>
      </c>
      <c r="I53" s="31">
        <f t="shared" ref="I53:I57" si="20">SUM(E53:H53)</f>
        <v>40</v>
      </c>
      <c r="J53" s="32">
        <f t="shared" ref="J53:J57" si="21">B53-I53+C53+D53</f>
        <v>-40</v>
      </c>
      <c r="K53" s="41">
        <v>0</v>
      </c>
      <c r="L53" s="33">
        <f t="shared" ref="L53:L57" si="22">K53-J53</f>
        <v>40</v>
      </c>
      <c r="M53" s="31">
        <v>89</v>
      </c>
      <c r="N53" s="34"/>
      <c r="O53" s="35">
        <v>1</v>
      </c>
      <c r="P53" s="53">
        <v>16</v>
      </c>
      <c r="Q53" s="37">
        <v>89</v>
      </c>
      <c r="R53" s="41">
        <v>35</v>
      </c>
      <c r="S53" s="33">
        <f t="shared" ref="S53:S57" si="23">R53-Q53</f>
        <v>-54</v>
      </c>
      <c r="T53" s="101"/>
      <c r="U53" s="38">
        <f t="shared" ref="U53:U65" si="24">J53+Q53</f>
        <v>49</v>
      </c>
    </row>
    <row r="54" spans="1:21" ht="15.75" customHeight="1" x14ac:dyDescent="0.5">
      <c r="A54" s="26" t="s">
        <v>21</v>
      </c>
      <c r="B54" s="95">
        <v>0</v>
      </c>
      <c r="C54" s="28"/>
      <c r="D54" s="29"/>
      <c r="E54" s="30"/>
      <c r="F54" s="30"/>
      <c r="G54" s="30"/>
      <c r="H54" s="30"/>
      <c r="I54" s="31">
        <f t="shared" si="20"/>
        <v>0</v>
      </c>
      <c r="J54" s="32">
        <f t="shared" si="21"/>
        <v>0</v>
      </c>
      <c r="K54" s="41">
        <v>0</v>
      </c>
      <c r="L54" s="33">
        <f t="shared" si="22"/>
        <v>0</v>
      </c>
      <c r="M54" s="31">
        <v>64</v>
      </c>
      <c r="N54" s="64"/>
      <c r="O54" s="40"/>
      <c r="P54" s="53">
        <v>12</v>
      </c>
      <c r="Q54" s="37">
        <v>64</v>
      </c>
      <c r="R54" s="33">
        <v>53</v>
      </c>
      <c r="S54" s="33">
        <f t="shared" si="23"/>
        <v>-11</v>
      </c>
      <c r="T54" s="101"/>
      <c r="U54" s="38">
        <f t="shared" si="24"/>
        <v>64</v>
      </c>
    </row>
    <row r="55" spans="1:21" ht="15.75" customHeight="1" x14ac:dyDescent="0.5">
      <c r="A55" s="26" t="s">
        <v>22</v>
      </c>
      <c r="B55" s="95">
        <v>62</v>
      </c>
      <c r="C55" s="28"/>
      <c r="D55" s="29"/>
      <c r="E55" s="30"/>
      <c r="F55" s="30"/>
      <c r="G55" s="42"/>
      <c r="H55" s="42">
        <v>55</v>
      </c>
      <c r="I55" s="31">
        <f t="shared" si="20"/>
        <v>55</v>
      </c>
      <c r="J55" s="32">
        <f t="shared" si="21"/>
        <v>7</v>
      </c>
      <c r="K55" s="41">
        <v>0</v>
      </c>
      <c r="L55" s="33">
        <f t="shared" si="22"/>
        <v>-7</v>
      </c>
      <c r="M55" s="31">
        <v>107</v>
      </c>
      <c r="N55" s="64"/>
      <c r="O55" s="40"/>
      <c r="P55" s="53">
        <v>21</v>
      </c>
      <c r="Q55" s="37">
        <v>107</v>
      </c>
      <c r="R55" s="33">
        <v>36</v>
      </c>
      <c r="S55" s="33">
        <f t="shared" si="23"/>
        <v>-71</v>
      </c>
      <c r="T55" s="101"/>
      <c r="U55" s="38">
        <f t="shared" si="24"/>
        <v>114</v>
      </c>
    </row>
    <row r="56" spans="1:21" ht="15.75" customHeight="1" x14ac:dyDescent="0.5">
      <c r="A56" s="26" t="s">
        <v>23</v>
      </c>
      <c r="B56" s="95">
        <v>0</v>
      </c>
      <c r="C56" s="28"/>
      <c r="D56" s="29"/>
      <c r="E56" s="30"/>
      <c r="F56" s="30"/>
      <c r="G56" s="30"/>
      <c r="H56" s="30"/>
      <c r="I56" s="31">
        <f t="shared" si="20"/>
        <v>0</v>
      </c>
      <c r="J56" s="32">
        <f t="shared" si="21"/>
        <v>0</v>
      </c>
      <c r="K56" s="41">
        <v>0</v>
      </c>
      <c r="L56" s="33">
        <f t="shared" si="22"/>
        <v>0</v>
      </c>
      <c r="M56" s="31">
        <v>100</v>
      </c>
      <c r="N56" s="64"/>
      <c r="O56" s="35">
        <v>1</v>
      </c>
      <c r="P56" s="53">
        <v>11</v>
      </c>
      <c r="Q56" s="37">
        <v>100</v>
      </c>
      <c r="R56" s="33">
        <v>90</v>
      </c>
      <c r="S56" s="33">
        <f t="shared" si="23"/>
        <v>-10</v>
      </c>
      <c r="T56" s="101"/>
      <c r="U56" s="38">
        <f t="shared" si="24"/>
        <v>100</v>
      </c>
    </row>
    <row r="57" spans="1:21" ht="18" customHeight="1" x14ac:dyDescent="0.5">
      <c r="A57" s="26" t="s">
        <v>25</v>
      </c>
      <c r="B57" s="95">
        <v>-1</v>
      </c>
      <c r="C57" s="54">
        <v>64</v>
      </c>
      <c r="D57" s="39"/>
      <c r="E57" s="42"/>
      <c r="F57" s="42">
        <v>15</v>
      </c>
      <c r="G57" s="42"/>
      <c r="H57" s="42">
        <v>16</v>
      </c>
      <c r="I57" s="31">
        <f t="shared" si="20"/>
        <v>31</v>
      </c>
      <c r="J57" s="32">
        <f t="shared" si="21"/>
        <v>32</v>
      </c>
      <c r="K57" s="41">
        <v>0</v>
      </c>
      <c r="L57" s="33">
        <f t="shared" si="22"/>
        <v>-32</v>
      </c>
      <c r="M57" s="31">
        <v>85</v>
      </c>
      <c r="N57" s="64">
        <v>64</v>
      </c>
      <c r="O57" s="35">
        <v>1</v>
      </c>
      <c r="P57" s="53">
        <v>50</v>
      </c>
      <c r="Q57" s="37">
        <v>85</v>
      </c>
      <c r="R57" s="33">
        <v>30</v>
      </c>
      <c r="S57" s="33">
        <f t="shared" si="23"/>
        <v>-55</v>
      </c>
      <c r="T57" s="101"/>
      <c r="U57" s="38">
        <f t="shared" si="24"/>
        <v>117</v>
      </c>
    </row>
    <row r="58" spans="1:21" ht="15.75" customHeight="1" x14ac:dyDescent="0.5">
      <c r="A58" s="15" t="s">
        <v>46</v>
      </c>
      <c r="B58" s="62"/>
      <c r="C58" s="57"/>
      <c r="D58" s="58"/>
      <c r="E58" s="59"/>
      <c r="F58" s="59"/>
      <c r="G58" s="59"/>
      <c r="H58" s="59"/>
      <c r="I58" s="59"/>
      <c r="J58" s="21"/>
      <c r="K58" s="103"/>
      <c r="L58" s="49"/>
      <c r="M58" s="21"/>
      <c r="N58" s="60"/>
      <c r="O58" s="61"/>
      <c r="P58" s="59"/>
      <c r="Q58" s="21"/>
      <c r="R58" s="103"/>
      <c r="S58" s="49"/>
      <c r="T58" s="102"/>
      <c r="U58" s="38">
        <f t="shared" si="24"/>
        <v>0</v>
      </c>
    </row>
    <row r="59" spans="1:21" ht="15.75" customHeight="1" x14ac:dyDescent="0.5">
      <c r="A59" s="26" t="s">
        <v>47</v>
      </c>
      <c r="B59" s="95">
        <v>124</v>
      </c>
      <c r="C59" s="54"/>
      <c r="D59" s="29"/>
      <c r="E59" s="30"/>
      <c r="F59" s="30"/>
      <c r="G59" s="42"/>
      <c r="H59" s="42"/>
      <c r="I59" s="31">
        <f t="shared" ref="I59:I66" si="25">SUM(E59:H59)</f>
        <v>0</v>
      </c>
      <c r="J59" s="32">
        <f t="shared" ref="J59:J66" si="26">B59-I59+C59+D59</f>
        <v>124</v>
      </c>
      <c r="K59" s="41">
        <f>108+11</f>
        <v>119</v>
      </c>
      <c r="L59" s="33">
        <f t="shared" ref="L59:L66" si="27">K59-J59</f>
        <v>-5</v>
      </c>
      <c r="M59" s="31">
        <v>4</v>
      </c>
      <c r="N59" s="34"/>
      <c r="O59" s="40"/>
      <c r="P59" s="53">
        <v>1</v>
      </c>
      <c r="Q59" s="37">
        <v>4</v>
      </c>
      <c r="R59" s="41">
        <v>2</v>
      </c>
      <c r="S59" s="33">
        <f t="shared" ref="S59:S66" si="28">R59-Q59</f>
        <v>-2</v>
      </c>
      <c r="T59" s="101"/>
      <c r="U59" s="38">
        <f t="shared" si="24"/>
        <v>128</v>
      </c>
    </row>
    <row r="60" spans="1:21" ht="15.75" customHeight="1" x14ac:dyDescent="0.5">
      <c r="A60" s="70" t="s">
        <v>48</v>
      </c>
      <c r="B60" s="95">
        <v>-2</v>
      </c>
      <c r="C60" s="28"/>
      <c r="D60" s="29"/>
      <c r="E60" s="30"/>
      <c r="F60" s="30"/>
      <c r="G60" s="30"/>
      <c r="H60" s="30"/>
      <c r="I60" s="31">
        <f t="shared" si="25"/>
        <v>0</v>
      </c>
      <c r="J60" s="32">
        <f t="shared" si="26"/>
        <v>-2</v>
      </c>
      <c r="K60" s="41"/>
      <c r="L60" s="33">
        <f t="shared" si="27"/>
        <v>2</v>
      </c>
      <c r="M60" s="31">
        <v>0</v>
      </c>
      <c r="N60" s="34"/>
      <c r="O60" s="40"/>
      <c r="P60" s="36"/>
      <c r="Q60" s="37">
        <v>0</v>
      </c>
      <c r="R60" s="104">
        <v>0</v>
      </c>
      <c r="S60" s="33">
        <f t="shared" si="28"/>
        <v>0</v>
      </c>
      <c r="T60" s="101"/>
      <c r="U60" s="38">
        <f t="shared" si="24"/>
        <v>-2</v>
      </c>
    </row>
    <row r="61" spans="1:21" ht="15.75" customHeight="1" x14ac:dyDescent="0.5">
      <c r="A61" s="26" t="s">
        <v>49</v>
      </c>
      <c r="B61" s="95">
        <v>1</v>
      </c>
      <c r="C61" s="28"/>
      <c r="D61" s="29"/>
      <c r="E61" s="42"/>
      <c r="F61" s="30"/>
      <c r="G61" s="30"/>
      <c r="H61" s="30"/>
      <c r="I61" s="31">
        <f t="shared" si="25"/>
        <v>0</v>
      </c>
      <c r="J61" s="32">
        <f t="shared" si="26"/>
        <v>1</v>
      </c>
      <c r="K61" s="41"/>
      <c r="L61" s="33">
        <f t="shared" si="27"/>
        <v>-1</v>
      </c>
      <c r="M61" s="31">
        <v>3</v>
      </c>
      <c r="N61" s="34"/>
      <c r="O61" s="40"/>
      <c r="P61" s="53">
        <v>7</v>
      </c>
      <c r="Q61" s="37">
        <v>3</v>
      </c>
      <c r="R61" s="41">
        <v>0</v>
      </c>
      <c r="S61" s="33">
        <f t="shared" si="28"/>
        <v>-3</v>
      </c>
      <c r="T61" s="101"/>
      <c r="U61" s="38">
        <f t="shared" si="24"/>
        <v>4</v>
      </c>
    </row>
    <row r="62" spans="1:21" ht="15.75" customHeight="1" x14ac:dyDescent="0.5">
      <c r="A62" s="26" t="s">
        <v>50</v>
      </c>
      <c r="B62" s="95">
        <v>0</v>
      </c>
      <c r="C62" s="28"/>
      <c r="D62" s="29"/>
      <c r="E62" s="30"/>
      <c r="F62" s="30"/>
      <c r="G62" s="30"/>
      <c r="H62" s="30"/>
      <c r="I62" s="31">
        <f t="shared" si="25"/>
        <v>0</v>
      </c>
      <c r="J62" s="32">
        <f t="shared" si="26"/>
        <v>0</v>
      </c>
      <c r="K62" s="41"/>
      <c r="L62" s="33">
        <f t="shared" si="27"/>
        <v>0</v>
      </c>
      <c r="M62" s="31">
        <v>59</v>
      </c>
      <c r="N62" s="64"/>
      <c r="O62" s="35">
        <v>1</v>
      </c>
      <c r="P62" s="53">
        <v>33</v>
      </c>
      <c r="Q62" s="37">
        <v>59</v>
      </c>
      <c r="R62" s="41">
        <v>36</v>
      </c>
      <c r="S62" s="33">
        <f t="shared" si="28"/>
        <v>-23</v>
      </c>
      <c r="T62" s="101"/>
      <c r="U62" s="38">
        <f t="shared" si="24"/>
        <v>59</v>
      </c>
    </row>
    <row r="63" spans="1:21" ht="15.75" customHeight="1" x14ac:dyDescent="0.5">
      <c r="A63" s="26" t="s">
        <v>51</v>
      </c>
      <c r="B63" s="95">
        <v>14</v>
      </c>
      <c r="C63" s="28"/>
      <c r="D63" s="29"/>
      <c r="E63" s="30"/>
      <c r="F63" s="30"/>
      <c r="G63" s="42"/>
      <c r="H63" s="42">
        <v>1</v>
      </c>
      <c r="I63" s="31">
        <f t="shared" si="25"/>
        <v>1</v>
      </c>
      <c r="J63" s="32">
        <f t="shared" si="26"/>
        <v>13</v>
      </c>
      <c r="K63" s="41">
        <v>13</v>
      </c>
      <c r="L63" s="33">
        <f t="shared" si="27"/>
        <v>0</v>
      </c>
      <c r="M63" s="31">
        <v>10</v>
      </c>
      <c r="N63" s="34"/>
      <c r="O63" s="40"/>
      <c r="P63" s="53"/>
      <c r="Q63" s="37">
        <v>10</v>
      </c>
      <c r="R63" s="41">
        <v>10</v>
      </c>
      <c r="S63" s="33">
        <f t="shared" si="28"/>
        <v>0</v>
      </c>
      <c r="T63" s="101"/>
      <c r="U63" s="38">
        <f t="shared" si="24"/>
        <v>23</v>
      </c>
    </row>
    <row r="64" spans="1:21" ht="15.75" customHeight="1" x14ac:dyDescent="0.5">
      <c r="A64" s="26" t="s">
        <v>52</v>
      </c>
      <c r="B64" s="95">
        <v>21</v>
      </c>
      <c r="C64" s="28"/>
      <c r="D64" s="29"/>
      <c r="E64" s="30"/>
      <c r="F64" s="30"/>
      <c r="G64" s="30"/>
      <c r="H64" s="30"/>
      <c r="I64" s="31">
        <f t="shared" si="25"/>
        <v>0</v>
      </c>
      <c r="J64" s="32">
        <f t="shared" si="26"/>
        <v>21</v>
      </c>
      <c r="K64" s="41">
        <v>20</v>
      </c>
      <c r="L64" s="33">
        <f t="shared" si="27"/>
        <v>-1</v>
      </c>
      <c r="M64" s="31">
        <v>15</v>
      </c>
      <c r="N64" s="34"/>
      <c r="O64" s="40"/>
      <c r="P64" s="53"/>
      <c r="Q64" s="37">
        <v>15</v>
      </c>
      <c r="R64" s="41">
        <v>16</v>
      </c>
      <c r="S64" s="33">
        <f t="shared" si="28"/>
        <v>1</v>
      </c>
      <c r="T64" s="101"/>
      <c r="U64" s="38">
        <f t="shared" si="24"/>
        <v>36</v>
      </c>
    </row>
    <row r="65" spans="1:21" ht="15.75" customHeight="1" x14ac:dyDescent="0.5">
      <c r="A65" s="72" t="s">
        <v>53</v>
      </c>
      <c r="B65" s="95">
        <v>0</v>
      </c>
      <c r="C65" s="73"/>
      <c r="D65" s="74"/>
      <c r="E65" s="30"/>
      <c r="F65" s="30"/>
      <c r="G65" s="30"/>
      <c r="H65" s="30"/>
      <c r="I65" s="31">
        <f t="shared" si="25"/>
        <v>0</v>
      </c>
      <c r="J65" s="32">
        <f t="shared" si="26"/>
        <v>0</v>
      </c>
      <c r="K65" s="41">
        <v>8</v>
      </c>
      <c r="L65" s="33">
        <f t="shared" si="27"/>
        <v>8</v>
      </c>
      <c r="M65" s="31">
        <v>19</v>
      </c>
      <c r="N65" s="75"/>
      <c r="O65" s="76"/>
      <c r="P65" s="53">
        <v>1</v>
      </c>
      <c r="Q65" s="37">
        <v>19</v>
      </c>
      <c r="R65" s="41">
        <v>18</v>
      </c>
      <c r="S65" s="33">
        <f t="shared" si="28"/>
        <v>-1</v>
      </c>
      <c r="T65" s="101"/>
      <c r="U65" s="38">
        <f t="shared" si="24"/>
        <v>19</v>
      </c>
    </row>
    <row r="66" spans="1:21" ht="15.75" customHeight="1" x14ac:dyDescent="0.5">
      <c r="A66" s="77" t="s">
        <v>54</v>
      </c>
      <c r="B66" s="95">
        <v>115</v>
      </c>
      <c r="C66" s="27"/>
      <c r="D66" s="78"/>
      <c r="E66" s="42">
        <v>8</v>
      </c>
      <c r="F66" s="30"/>
      <c r="G66" s="30"/>
      <c r="H66" s="30"/>
      <c r="I66" s="31">
        <f t="shared" si="25"/>
        <v>8</v>
      </c>
      <c r="J66" s="32">
        <f t="shared" si="26"/>
        <v>107</v>
      </c>
      <c r="K66" s="41">
        <f>48+13+120</f>
        <v>181</v>
      </c>
      <c r="L66" s="33">
        <f t="shared" si="27"/>
        <v>74</v>
      </c>
      <c r="M66" s="31">
        <v>39</v>
      </c>
      <c r="N66" s="79"/>
      <c r="O66" s="79"/>
      <c r="P66" s="53"/>
      <c r="Q66" s="37">
        <v>39</v>
      </c>
      <c r="R66" s="33">
        <v>102</v>
      </c>
      <c r="S66" s="33">
        <f t="shared" si="28"/>
        <v>63</v>
      </c>
      <c r="T66" s="101"/>
      <c r="U66" s="38"/>
    </row>
    <row r="67" spans="1:21" ht="24.75" customHeight="1" x14ac:dyDescent="0.75">
      <c r="B67" s="80">
        <f t="shared" ref="B67:D67" si="29">SUM(B6:B66)</f>
        <v>12669</v>
      </c>
      <c r="C67" s="80">
        <f t="shared" si="29"/>
        <v>3176</v>
      </c>
      <c r="D67" s="81">
        <f t="shared" si="29"/>
        <v>17</v>
      </c>
      <c r="E67" s="82">
        <f t="shared" ref="E67:L67" si="30">SUM(E6:E66)</f>
        <v>234</v>
      </c>
      <c r="F67" s="82">
        <f t="shared" si="30"/>
        <v>734</v>
      </c>
      <c r="G67" s="82">
        <f t="shared" si="30"/>
        <v>102</v>
      </c>
      <c r="H67" s="82">
        <f t="shared" si="30"/>
        <v>599</v>
      </c>
      <c r="I67" s="83">
        <f t="shared" si="30"/>
        <v>1669</v>
      </c>
      <c r="J67" s="84">
        <f t="shared" si="30"/>
        <v>14193</v>
      </c>
      <c r="K67" s="84">
        <f t="shared" si="30"/>
        <v>11670</v>
      </c>
      <c r="L67" s="84">
        <f t="shared" si="30"/>
        <v>-2523</v>
      </c>
      <c r="M67" s="85">
        <f t="shared" ref="M67:P67" si="31">SUM(M6:M66)</f>
        <v>4981</v>
      </c>
      <c r="N67" s="85">
        <f t="shared" si="31"/>
        <v>1722</v>
      </c>
      <c r="O67" s="85">
        <f t="shared" si="31"/>
        <v>50</v>
      </c>
      <c r="P67" s="85">
        <f t="shared" si="31"/>
        <v>2173</v>
      </c>
      <c r="Q67" s="98">
        <f t="shared" ref="Q67:S67" si="32">SUM(Q6:Q66)</f>
        <v>4981</v>
      </c>
      <c r="R67" s="84">
        <f t="shared" si="32"/>
        <v>4974</v>
      </c>
      <c r="S67" s="84">
        <f t="shared" si="32"/>
        <v>-7</v>
      </c>
      <c r="T67" s="84"/>
      <c r="U67" s="87">
        <f>J67+Q67</f>
        <v>19174</v>
      </c>
    </row>
    <row r="68" spans="1:21" ht="29.25" customHeight="1" x14ac:dyDescent="0.7">
      <c r="A68" s="93" t="s">
        <v>71</v>
      </c>
      <c r="D68" s="88" t="s">
        <v>55</v>
      </c>
      <c r="E68" s="89">
        <f>E67+F67+H67-D67</f>
        <v>1550</v>
      </c>
      <c r="I68" s="90"/>
      <c r="J68" s="90"/>
      <c r="O68" s="91" t="s">
        <v>55</v>
      </c>
      <c r="P68" s="92">
        <f>SUM(P6:P66)</f>
        <v>2173</v>
      </c>
    </row>
    <row r="69" spans="1:21" ht="15.75" customHeight="1" x14ac:dyDescent="0.4">
      <c r="G69" s="105"/>
      <c r="H69" s="126" t="s">
        <v>56</v>
      </c>
      <c r="I69" s="117"/>
      <c r="J69" s="127">
        <f>E68+P68</f>
        <v>3723</v>
      </c>
    </row>
    <row r="70" spans="1:21" ht="15.75" customHeight="1" x14ac:dyDescent="0.4">
      <c r="G70" s="105"/>
      <c r="H70" s="128" t="s">
        <v>57</v>
      </c>
      <c r="I70" s="109"/>
      <c r="J70" s="115"/>
    </row>
    <row r="71" spans="1:21" ht="15.75" customHeight="1" x14ac:dyDescent="0.35">
      <c r="I71" s="90"/>
      <c r="J71" s="90"/>
    </row>
    <row r="72" spans="1:21" ht="15.75" customHeight="1" x14ac:dyDescent="0.35">
      <c r="I72" s="90"/>
      <c r="J72" s="90"/>
    </row>
    <row r="73" spans="1:21" ht="15.75" customHeight="1" x14ac:dyDescent="0.35">
      <c r="I73" s="90"/>
      <c r="J73" s="90"/>
    </row>
    <row r="74" spans="1:21" ht="15.75" customHeight="1" x14ac:dyDescent="0.35">
      <c r="I74" s="90"/>
      <c r="J74" s="90"/>
    </row>
    <row r="75" spans="1:21" ht="15.75" customHeight="1" x14ac:dyDescent="0.35">
      <c r="I75" s="90"/>
      <c r="J75" s="90"/>
    </row>
    <row r="76" spans="1:21" ht="15.75" customHeight="1" x14ac:dyDescent="0.35">
      <c r="I76" s="90"/>
      <c r="J76" s="90"/>
    </row>
    <row r="77" spans="1:21" ht="15.75" customHeight="1" x14ac:dyDescent="0.35">
      <c r="I77" s="90"/>
      <c r="J77" s="90"/>
    </row>
    <row r="78" spans="1:21" ht="15.75" customHeight="1" x14ac:dyDescent="0.35">
      <c r="I78" s="90"/>
      <c r="J78" s="90"/>
    </row>
    <row r="79" spans="1:21" ht="15.75" customHeight="1" x14ac:dyDescent="0.35">
      <c r="I79" s="90"/>
      <c r="J79" s="90"/>
    </row>
    <row r="80" spans="1:21" ht="15.75" customHeight="1" x14ac:dyDescent="0.35">
      <c r="I80" s="90"/>
      <c r="J80" s="90"/>
    </row>
    <row r="81" spans="9:10" ht="15.75" customHeight="1" x14ac:dyDescent="0.35">
      <c r="I81" s="90"/>
      <c r="J81" s="90"/>
    </row>
    <row r="82" spans="9:10" ht="15.75" customHeight="1" x14ac:dyDescent="0.35">
      <c r="I82" s="90"/>
      <c r="J82" s="90"/>
    </row>
    <row r="83" spans="9:10" ht="15.75" customHeight="1" x14ac:dyDescent="0.35">
      <c r="I83" s="90"/>
      <c r="J83" s="90"/>
    </row>
    <row r="84" spans="9:10" ht="15.75" customHeight="1" x14ac:dyDescent="0.35">
      <c r="I84" s="90"/>
      <c r="J84" s="90"/>
    </row>
    <row r="85" spans="9:10" ht="15.75" customHeight="1" x14ac:dyDescent="0.35">
      <c r="I85" s="90"/>
      <c r="J85" s="90"/>
    </row>
    <row r="86" spans="9:10" ht="15.75" customHeight="1" x14ac:dyDescent="0.35">
      <c r="I86" s="90"/>
      <c r="J86" s="90"/>
    </row>
    <row r="87" spans="9:10" ht="15.75" customHeight="1" x14ac:dyDescent="0.35">
      <c r="I87" s="90"/>
      <c r="J87" s="90"/>
    </row>
    <row r="88" spans="9:10" ht="15.75" customHeight="1" x14ac:dyDescent="0.35">
      <c r="I88" s="90"/>
      <c r="J88" s="90"/>
    </row>
    <row r="89" spans="9:10" ht="15.75" customHeight="1" x14ac:dyDescent="0.35">
      <c r="I89" s="90"/>
      <c r="J89" s="90"/>
    </row>
    <row r="90" spans="9:10" ht="15.75" customHeight="1" x14ac:dyDescent="0.35">
      <c r="I90" s="90"/>
      <c r="J90" s="90"/>
    </row>
    <row r="91" spans="9:10" ht="15.75" customHeight="1" x14ac:dyDescent="0.35">
      <c r="I91" s="90"/>
      <c r="J91" s="90"/>
    </row>
    <row r="92" spans="9:10" ht="15.75" customHeight="1" x14ac:dyDescent="0.35">
      <c r="I92" s="90"/>
      <c r="J92" s="90"/>
    </row>
    <row r="93" spans="9:10" ht="15.75" customHeight="1" x14ac:dyDescent="0.35">
      <c r="I93" s="90"/>
      <c r="J93" s="90"/>
    </row>
    <row r="94" spans="9:10" ht="15.75" customHeight="1" x14ac:dyDescent="0.35">
      <c r="I94" s="90"/>
      <c r="J94" s="90"/>
    </row>
    <row r="95" spans="9:10" ht="15.75" customHeight="1" x14ac:dyDescent="0.35">
      <c r="I95" s="90"/>
      <c r="J95" s="90"/>
    </row>
    <row r="96" spans="9:10" ht="15.75" customHeight="1" x14ac:dyDescent="0.35">
      <c r="I96" s="90"/>
      <c r="J96" s="90"/>
    </row>
    <row r="97" spans="9:10" ht="15.75" customHeight="1" x14ac:dyDescent="0.35">
      <c r="I97" s="90"/>
      <c r="J97" s="90"/>
    </row>
    <row r="98" spans="9:10" ht="15.75" customHeight="1" x14ac:dyDescent="0.35">
      <c r="I98" s="90"/>
      <c r="J98" s="90"/>
    </row>
    <row r="99" spans="9:10" ht="15.75" customHeight="1" x14ac:dyDescent="0.35">
      <c r="I99" s="90"/>
      <c r="J99" s="90"/>
    </row>
    <row r="100" spans="9:10" ht="15.75" customHeight="1" x14ac:dyDescent="0.35">
      <c r="I100" s="90"/>
      <c r="J100" s="90"/>
    </row>
    <row r="101" spans="9:10" ht="15.75" customHeight="1" x14ac:dyDescent="0.35">
      <c r="I101" s="90"/>
      <c r="J101" s="90"/>
    </row>
    <row r="102" spans="9:10" ht="15.75" customHeight="1" x14ac:dyDescent="0.35">
      <c r="I102" s="90"/>
      <c r="J102" s="90"/>
    </row>
    <row r="103" spans="9:10" ht="15.75" customHeight="1" x14ac:dyDescent="0.35">
      <c r="I103" s="90"/>
      <c r="J103" s="90"/>
    </row>
    <row r="104" spans="9:10" ht="15.75" customHeight="1" x14ac:dyDescent="0.35">
      <c r="I104" s="90"/>
      <c r="J104" s="90"/>
    </row>
    <row r="105" spans="9:10" ht="15.75" customHeight="1" x14ac:dyDescent="0.35">
      <c r="I105" s="90"/>
      <c r="J105" s="90"/>
    </row>
    <row r="106" spans="9:10" ht="15.75" customHeight="1" x14ac:dyDescent="0.35">
      <c r="I106" s="90"/>
      <c r="J106" s="90"/>
    </row>
    <row r="107" spans="9:10" ht="15.75" customHeight="1" x14ac:dyDescent="0.35">
      <c r="I107" s="90"/>
      <c r="J107" s="90"/>
    </row>
    <row r="108" spans="9:10" ht="15.75" customHeight="1" x14ac:dyDescent="0.35">
      <c r="I108" s="90"/>
      <c r="J108" s="90"/>
    </row>
    <row r="109" spans="9:10" ht="15.75" customHeight="1" x14ac:dyDescent="0.35">
      <c r="I109" s="90"/>
      <c r="J109" s="90"/>
    </row>
    <row r="110" spans="9:10" ht="15.75" customHeight="1" x14ac:dyDescent="0.35">
      <c r="I110" s="90"/>
      <c r="J110" s="90"/>
    </row>
    <row r="111" spans="9:10" ht="15.75" customHeight="1" x14ac:dyDescent="0.35">
      <c r="I111" s="90"/>
      <c r="J111" s="90"/>
    </row>
    <row r="112" spans="9:10" ht="15.75" customHeight="1" x14ac:dyDescent="0.35">
      <c r="I112" s="90"/>
      <c r="J112" s="90"/>
    </row>
    <row r="113" spans="9:10" ht="15.75" customHeight="1" x14ac:dyDescent="0.35">
      <c r="I113" s="90"/>
      <c r="J113" s="90"/>
    </row>
    <row r="114" spans="9:10" ht="15.75" customHeight="1" x14ac:dyDescent="0.35">
      <c r="I114" s="90"/>
      <c r="J114" s="90"/>
    </row>
    <row r="115" spans="9:10" ht="15.75" customHeight="1" x14ac:dyDescent="0.35">
      <c r="I115" s="90"/>
      <c r="J115" s="90"/>
    </row>
    <row r="116" spans="9:10" ht="15.75" customHeight="1" x14ac:dyDescent="0.35">
      <c r="I116" s="90"/>
      <c r="J116" s="90"/>
    </row>
    <row r="117" spans="9:10" ht="15.75" customHeight="1" x14ac:dyDescent="0.35">
      <c r="I117" s="90"/>
      <c r="J117" s="90"/>
    </row>
    <row r="118" spans="9:10" ht="15.75" customHeight="1" x14ac:dyDescent="0.35">
      <c r="I118" s="90"/>
      <c r="J118" s="90"/>
    </row>
    <row r="119" spans="9:10" ht="15.75" customHeight="1" x14ac:dyDescent="0.35">
      <c r="I119" s="90"/>
      <c r="J119" s="90"/>
    </row>
    <row r="120" spans="9:10" ht="15.75" customHeight="1" x14ac:dyDescent="0.35">
      <c r="I120" s="90"/>
      <c r="J120" s="90"/>
    </row>
    <row r="121" spans="9:10" ht="15.75" customHeight="1" x14ac:dyDescent="0.35">
      <c r="I121" s="90"/>
      <c r="J121" s="90"/>
    </row>
    <row r="122" spans="9:10" ht="15.75" customHeight="1" x14ac:dyDescent="0.35">
      <c r="I122" s="90"/>
      <c r="J122" s="90"/>
    </row>
    <row r="123" spans="9:10" ht="15.75" customHeight="1" x14ac:dyDescent="0.35">
      <c r="I123" s="90"/>
      <c r="J123" s="90"/>
    </row>
    <row r="124" spans="9:10" ht="15.75" customHeight="1" x14ac:dyDescent="0.35">
      <c r="I124" s="90"/>
      <c r="J124" s="90"/>
    </row>
    <row r="125" spans="9:10" ht="15.75" customHeight="1" x14ac:dyDescent="0.35">
      <c r="I125" s="90"/>
      <c r="J125" s="90"/>
    </row>
    <row r="126" spans="9:10" ht="15.75" customHeight="1" x14ac:dyDescent="0.35">
      <c r="I126" s="90"/>
      <c r="J126" s="90"/>
    </row>
    <row r="127" spans="9:10" ht="15.75" customHeight="1" x14ac:dyDescent="0.35">
      <c r="I127" s="90"/>
      <c r="J127" s="90"/>
    </row>
    <row r="128" spans="9:10" ht="15.75" customHeight="1" x14ac:dyDescent="0.35">
      <c r="I128" s="90"/>
      <c r="J128" s="90"/>
    </row>
    <row r="129" spans="9:10" ht="15.75" customHeight="1" x14ac:dyDescent="0.35">
      <c r="I129" s="90"/>
      <c r="J129" s="90"/>
    </row>
    <row r="130" spans="9:10" ht="15.75" customHeight="1" x14ac:dyDescent="0.35">
      <c r="I130" s="90"/>
      <c r="J130" s="90"/>
    </row>
    <row r="131" spans="9:10" ht="15.75" customHeight="1" x14ac:dyDescent="0.35">
      <c r="I131" s="90"/>
      <c r="J131" s="90"/>
    </row>
    <row r="132" spans="9:10" ht="15.75" customHeight="1" x14ac:dyDescent="0.35">
      <c r="I132" s="90"/>
      <c r="J132" s="90"/>
    </row>
    <row r="133" spans="9:10" ht="15.75" customHeight="1" x14ac:dyDescent="0.35">
      <c r="I133" s="90"/>
      <c r="J133" s="90"/>
    </row>
    <row r="134" spans="9:10" ht="15.75" customHeight="1" x14ac:dyDescent="0.35">
      <c r="I134" s="90"/>
      <c r="J134" s="90"/>
    </row>
    <row r="135" spans="9:10" ht="15.75" customHeight="1" x14ac:dyDescent="0.35">
      <c r="I135" s="90"/>
      <c r="J135" s="90"/>
    </row>
    <row r="136" spans="9:10" ht="15.75" customHeight="1" x14ac:dyDescent="0.35">
      <c r="I136" s="90"/>
      <c r="J136" s="90"/>
    </row>
    <row r="137" spans="9:10" ht="15.75" customHeight="1" x14ac:dyDescent="0.35">
      <c r="I137" s="90"/>
      <c r="J137" s="90"/>
    </row>
    <row r="138" spans="9:10" ht="15.75" customHeight="1" x14ac:dyDescent="0.35">
      <c r="I138" s="90"/>
      <c r="J138" s="90"/>
    </row>
    <row r="139" spans="9:10" ht="15.75" customHeight="1" x14ac:dyDescent="0.35">
      <c r="I139" s="90"/>
      <c r="J139" s="90"/>
    </row>
    <row r="140" spans="9:10" ht="15.75" customHeight="1" x14ac:dyDescent="0.35">
      <c r="I140" s="90"/>
      <c r="J140" s="90"/>
    </row>
    <row r="141" spans="9:10" ht="15.75" customHeight="1" x14ac:dyDescent="0.35">
      <c r="I141" s="90"/>
      <c r="J141" s="90"/>
    </row>
    <row r="142" spans="9:10" ht="15.75" customHeight="1" x14ac:dyDescent="0.35">
      <c r="I142" s="90"/>
      <c r="J142" s="90"/>
    </row>
    <row r="143" spans="9:10" ht="15.75" customHeight="1" x14ac:dyDescent="0.35">
      <c r="I143" s="90"/>
      <c r="J143" s="90"/>
    </row>
    <row r="144" spans="9:10" ht="15.75" customHeight="1" x14ac:dyDescent="0.35">
      <c r="I144" s="90"/>
      <c r="J144" s="90"/>
    </row>
    <row r="145" spans="9:10" ht="15.75" customHeight="1" x14ac:dyDescent="0.35">
      <c r="I145" s="90"/>
      <c r="J145" s="90"/>
    </row>
    <row r="146" spans="9:10" ht="15.75" customHeight="1" x14ac:dyDescent="0.35">
      <c r="I146" s="90"/>
      <c r="J146" s="90"/>
    </row>
    <row r="147" spans="9:10" ht="15.75" customHeight="1" x14ac:dyDescent="0.35">
      <c r="I147" s="90"/>
      <c r="J147" s="90"/>
    </row>
    <row r="148" spans="9:10" ht="15.75" customHeight="1" x14ac:dyDescent="0.35">
      <c r="I148" s="90"/>
      <c r="J148" s="90"/>
    </row>
    <row r="149" spans="9:10" ht="15.75" customHeight="1" x14ac:dyDescent="0.35">
      <c r="I149" s="90"/>
      <c r="J149" s="90"/>
    </row>
    <row r="150" spans="9:10" ht="15.75" customHeight="1" x14ac:dyDescent="0.35">
      <c r="I150" s="90"/>
      <c r="J150" s="90"/>
    </row>
    <row r="151" spans="9:10" ht="15.75" customHeight="1" x14ac:dyDescent="0.35">
      <c r="I151" s="90"/>
      <c r="J151" s="90"/>
    </row>
    <row r="152" spans="9:10" ht="15.75" customHeight="1" x14ac:dyDescent="0.35">
      <c r="I152" s="90"/>
      <c r="J152" s="90"/>
    </row>
    <row r="153" spans="9:10" ht="15.75" customHeight="1" x14ac:dyDescent="0.35">
      <c r="I153" s="90"/>
      <c r="J153" s="90"/>
    </row>
    <row r="154" spans="9:10" ht="15.75" customHeight="1" x14ac:dyDescent="0.35">
      <c r="I154" s="90"/>
      <c r="J154" s="90"/>
    </row>
    <row r="155" spans="9:10" ht="15.75" customHeight="1" x14ac:dyDescent="0.35">
      <c r="I155" s="90"/>
      <c r="J155" s="90"/>
    </row>
    <row r="156" spans="9:10" ht="15.75" customHeight="1" x14ac:dyDescent="0.35">
      <c r="I156" s="90"/>
      <c r="J156" s="90"/>
    </row>
    <row r="157" spans="9:10" ht="15.75" customHeight="1" x14ac:dyDescent="0.35">
      <c r="I157" s="90"/>
      <c r="J157" s="90"/>
    </row>
    <row r="158" spans="9:10" ht="15.75" customHeight="1" x14ac:dyDescent="0.35">
      <c r="I158" s="90"/>
      <c r="J158" s="90"/>
    </row>
    <row r="159" spans="9:10" ht="15.75" customHeight="1" x14ac:dyDescent="0.35">
      <c r="I159" s="90"/>
      <c r="J159" s="90"/>
    </row>
    <row r="160" spans="9:10" ht="15.75" customHeight="1" x14ac:dyDescent="0.35">
      <c r="I160" s="90"/>
      <c r="J160" s="90"/>
    </row>
    <row r="161" spans="9:10" ht="15.75" customHeight="1" x14ac:dyDescent="0.35">
      <c r="I161" s="90"/>
      <c r="J161" s="90"/>
    </row>
    <row r="162" spans="9:10" ht="15.75" customHeight="1" x14ac:dyDescent="0.35">
      <c r="I162" s="90"/>
      <c r="J162" s="90"/>
    </row>
    <row r="163" spans="9:10" ht="15.75" customHeight="1" x14ac:dyDescent="0.35">
      <c r="I163" s="90"/>
      <c r="J163" s="90"/>
    </row>
    <row r="164" spans="9:10" ht="15.75" customHeight="1" x14ac:dyDescent="0.35">
      <c r="I164" s="90"/>
      <c r="J164" s="90"/>
    </row>
    <row r="165" spans="9:10" ht="15.75" customHeight="1" x14ac:dyDescent="0.35">
      <c r="I165" s="90"/>
      <c r="J165" s="90"/>
    </row>
    <row r="166" spans="9:10" ht="15.75" customHeight="1" x14ac:dyDescent="0.35">
      <c r="I166" s="90"/>
      <c r="J166" s="90"/>
    </row>
    <row r="167" spans="9:10" ht="15.75" customHeight="1" x14ac:dyDescent="0.35">
      <c r="I167" s="90"/>
      <c r="J167" s="90"/>
    </row>
    <row r="168" spans="9:10" ht="15.75" customHeight="1" x14ac:dyDescent="0.35">
      <c r="I168" s="90"/>
      <c r="J168" s="90"/>
    </row>
    <row r="169" spans="9:10" ht="15.75" customHeight="1" x14ac:dyDescent="0.35">
      <c r="I169" s="90"/>
      <c r="J169" s="90"/>
    </row>
    <row r="170" spans="9:10" ht="15.75" customHeight="1" x14ac:dyDescent="0.35">
      <c r="I170" s="90"/>
      <c r="J170" s="90"/>
    </row>
    <row r="171" spans="9:10" ht="15.75" customHeight="1" x14ac:dyDescent="0.35">
      <c r="I171" s="90"/>
      <c r="J171" s="90"/>
    </row>
    <row r="172" spans="9:10" ht="15.75" customHeight="1" x14ac:dyDescent="0.35">
      <c r="I172" s="90"/>
      <c r="J172" s="90"/>
    </row>
    <row r="173" spans="9:10" ht="15.75" customHeight="1" x14ac:dyDescent="0.35">
      <c r="I173" s="90"/>
      <c r="J173" s="90"/>
    </row>
    <row r="174" spans="9:10" ht="15.75" customHeight="1" x14ac:dyDescent="0.35">
      <c r="I174" s="90"/>
      <c r="J174" s="90"/>
    </row>
    <row r="175" spans="9:10" ht="15.75" customHeight="1" x14ac:dyDescent="0.35">
      <c r="I175" s="90"/>
      <c r="J175" s="90"/>
    </row>
    <row r="176" spans="9:10" ht="15.75" customHeight="1" x14ac:dyDescent="0.35">
      <c r="I176" s="90"/>
      <c r="J176" s="90"/>
    </row>
    <row r="177" spans="9:10" ht="15.75" customHeight="1" x14ac:dyDescent="0.35">
      <c r="I177" s="90"/>
      <c r="J177" s="90"/>
    </row>
    <row r="178" spans="9:10" ht="15.75" customHeight="1" x14ac:dyDescent="0.35">
      <c r="I178" s="90"/>
      <c r="J178" s="90"/>
    </row>
    <row r="179" spans="9:10" ht="15.75" customHeight="1" x14ac:dyDescent="0.35">
      <c r="I179" s="90"/>
      <c r="J179" s="90"/>
    </row>
    <row r="180" spans="9:10" ht="15.75" customHeight="1" x14ac:dyDescent="0.35">
      <c r="I180" s="90"/>
      <c r="J180" s="90"/>
    </row>
    <row r="181" spans="9:10" ht="15.75" customHeight="1" x14ac:dyDescent="0.35">
      <c r="I181" s="90"/>
      <c r="J181" s="90"/>
    </row>
    <row r="182" spans="9:10" ht="15.75" customHeight="1" x14ac:dyDescent="0.35">
      <c r="I182" s="90"/>
      <c r="J182" s="90"/>
    </row>
    <row r="183" spans="9:10" ht="15.75" customHeight="1" x14ac:dyDescent="0.35">
      <c r="I183" s="90"/>
      <c r="J183" s="90"/>
    </row>
    <row r="184" spans="9:10" ht="15.75" customHeight="1" x14ac:dyDescent="0.35">
      <c r="I184" s="90"/>
      <c r="J184" s="90"/>
    </row>
    <row r="185" spans="9:10" ht="15.75" customHeight="1" x14ac:dyDescent="0.35">
      <c r="I185" s="90"/>
      <c r="J185" s="90"/>
    </row>
    <row r="186" spans="9:10" ht="15.75" customHeight="1" x14ac:dyDescent="0.35">
      <c r="I186" s="90"/>
      <c r="J186" s="90"/>
    </row>
    <row r="187" spans="9:10" ht="15.75" customHeight="1" x14ac:dyDescent="0.35">
      <c r="I187" s="90"/>
      <c r="J187" s="90"/>
    </row>
    <row r="188" spans="9:10" ht="15.75" customHeight="1" x14ac:dyDescent="0.35">
      <c r="I188" s="90"/>
      <c r="J188" s="90"/>
    </row>
    <row r="189" spans="9:10" ht="15.75" customHeight="1" x14ac:dyDescent="0.35">
      <c r="I189" s="90"/>
      <c r="J189" s="90"/>
    </row>
    <row r="190" spans="9:10" ht="15.75" customHeight="1" x14ac:dyDescent="0.35">
      <c r="I190" s="90"/>
      <c r="J190" s="90"/>
    </row>
    <row r="191" spans="9:10" ht="15.75" customHeight="1" x14ac:dyDescent="0.35">
      <c r="I191" s="90"/>
      <c r="J191" s="90"/>
    </row>
    <row r="192" spans="9:10" ht="15.75" customHeight="1" x14ac:dyDescent="0.35">
      <c r="I192" s="90"/>
      <c r="J192" s="90"/>
    </row>
    <row r="193" spans="9:10" ht="15.75" customHeight="1" x14ac:dyDescent="0.35">
      <c r="I193" s="90"/>
      <c r="J193" s="90"/>
    </row>
    <row r="194" spans="9:10" ht="15.75" customHeight="1" x14ac:dyDescent="0.35">
      <c r="I194" s="90"/>
      <c r="J194" s="90"/>
    </row>
    <row r="195" spans="9:10" ht="15.75" customHeight="1" x14ac:dyDescent="0.35">
      <c r="I195" s="90"/>
      <c r="J195" s="90"/>
    </row>
    <row r="196" spans="9:10" ht="15.75" customHeight="1" x14ac:dyDescent="0.35">
      <c r="I196" s="90"/>
      <c r="J196" s="90"/>
    </row>
    <row r="197" spans="9:10" ht="15.75" customHeight="1" x14ac:dyDescent="0.35">
      <c r="I197" s="90"/>
      <c r="J197" s="90"/>
    </row>
    <row r="198" spans="9:10" ht="15.75" customHeight="1" x14ac:dyDescent="0.35">
      <c r="I198" s="90"/>
      <c r="J198" s="90"/>
    </row>
    <row r="199" spans="9:10" ht="15.75" customHeight="1" x14ac:dyDescent="0.35">
      <c r="I199" s="90"/>
      <c r="J199" s="90"/>
    </row>
    <row r="200" spans="9:10" ht="15.75" customHeight="1" x14ac:dyDescent="0.35">
      <c r="I200" s="90"/>
      <c r="J200" s="90"/>
    </row>
    <row r="201" spans="9:10" ht="15.75" customHeight="1" x14ac:dyDescent="0.35">
      <c r="I201" s="90"/>
      <c r="J201" s="90"/>
    </row>
    <row r="202" spans="9:10" ht="15.75" customHeight="1" x14ac:dyDescent="0.35">
      <c r="I202" s="90"/>
      <c r="J202" s="90"/>
    </row>
    <row r="203" spans="9:10" ht="15.75" customHeight="1" x14ac:dyDescent="0.35">
      <c r="I203" s="90"/>
      <c r="J203" s="90"/>
    </row>
    <row r="204" spans="9:10" ht="15.75" customHeight="1" x14ac:dyDescent="0.35">
      <c r="I204" s="90"/>
      <c r="J204" s="90"/>
    </row>
    <row r="205" spans="9:10" ht="15.75" customHeight="1" x14ac:dyDescent="0.35">
      <c r="I205" s="90"/>
      <c r="J205" s="90"/>
    </row>
    <row r="206" spans="9:10" ht="15.75" customHeight="1" x14ac:dyDescent="0.35">
      <c r="I206" s="90"/>
      <c r="J206" s="90"/>
    </row>
    <row r="207" spans="9:10" ht="15.75" customHeight="1" x14ac:dyDescent="0.35">
      <c r="I207" s="90"/>
      <c r="J207" s="90"/>
    </row>
    <row r="208" spans="9:10" ht="15.75" customHeight="1" x14ac:dyDescent="0.35">
      <c r="I208" s="90"/>
      <c r="J208" s="90"/>
    </row>
    <row r="209" spans="9:10" ht="15.75" customHeight="1" x14ac:dyDescent="0.35">
      <c r="I209" s="90"/>
      <c r="J209" s="90"/>
    </row>
    <row r="210" spans="9:10" ht="15.75" customHeight="1" x14ac:dyDescent="0.35">
      <c r="I210" s="90"/>
      <c r="J210" s="90"/>
    </row>
    <row r="211" spans="9:10" ht="15.75" customHeight="1" x14ac:dyDescent="0.35">
      <c r="I211" s="90"/>
      <c r="J211" s="90"/>
    </row>
    <row r="212" spans="9:10" ht="15.75" customHeight="1" x14ac:dyDescent="0.35">
      <c r="I212" s="90"/>
      <c r="J212" s="90"/>
    </row>
    <row r="213" spans="9:10" ht="15.75" customHeight="1" x14ac:dyDescent="0.35">
      <c r="I213" s="90"/>
      <c r="J213" s="90"/>
    </row>
    <row r="214" spans="9:10" ht="15.75" customHeight="1" x14ac:dyDescent="0.35">
      <c r="I214" s="90"/>
      <c r="J214" s="90"/>
    </row>
    <row r="215" spans="9:10" ht="15.75" customHeight="1" x14ac:dyDescent="0.35">
      <c r="I215" s="90"/>
      <c r="J215" s="90"/>
    </row>
    <row r="216" spans="9:10" ht="15.75" customHeight="1" x14ac:dyDescent="0.35">
      <c r="I216" s="90"/>
      <c r="J216" s="90"/>
    </row>
    <row r="217" spans="9:10" ht="15.75" customHeight="1" x14ac:dyDescent="0.35">
      <c r="I217" s="90"/>
      <c r="J217" s="90"/>
    </row>
    <row r="218" spans="9:10" ht="15.75" customHeight="1" x14ac:dyDescent="0.35">
      <c r="I218" s="90"/>
      <c r="J218" s="90"/>
    </row>
    <row r="219" spans="9:10" ht="15.75" customHeight="1" x14ac:dyDescent="0.35">
      <c r="I219" s="90"/>
      <c r="J219" s="90"/>
    </row>
    <row r="220" spans="9:10" ht="15.75" customHeight="1" x14ac:dyDescent="0.35">
      <c r="I220" s="90"/>
      <c r="J220" s="90"/>
    </row>
    <row r="221" spans="9:10" ht="15.75" customHeight="1" x14ac:dyDescent="0.35">
      <c r="I221" s="90"/>
      <c r="J221" s="90"/>
    </row>
    <row r="222" spans="9:10" ht="15.75" customHeight="1" x14ac:dyDescent="0.35">
      <c r="I222" s="90"/>
      <c r="J222" s="90"/>
    </row>
    <row r="223" spans="9:10" ht="15.75" customHeight="1" x14ac:dyDescent="0.35">
      <c r="I223" s="90"/>
      <c r="J223" s="90"/>
    </row>
    <row r="224" spans="9:10" ht="15.75" customHeight="1" x14ac:dyDescent="0.35">
      <c r="I224" s="90"/>
      <c r="J224" s="90"/>
    </row>
    <row r="225" spans="9:10" ht="15.75" customHeight="1" x14ac:dyDescent="0.35">
      <c r="I225" s="90"/>
      <c r="J225" s="90"/>
    </row>
    <row r="226" spans="9:10" ht="15.75" customHeight="1" x14ac:dyDescent="0.35">
      <c r="I226" s="90"/>
      <c r="J226" s="90"/>
    </row>
    <row r="227" spans="9:10" ht="15.75" customHeight="1" x14ac:dyDescent="0.35">
      <c r="I227" s="90"/>
      <c r="J227" s="90"/>
    </row>
    <row r="228" spans="9:10" ht="15.75" customHeight="1" x14ac:dyDescent="0.35">
      <c r="I228" s="90"/>
      <c r="J228" s="90"/>
    </row>
    <row r="229" spans="9:10" ht="15.75" customHeight="1" x14ac:dyDescent="0.35">
      <c r="I229" s="90"/>
      <c r="J229" s="90"/>
    </row>
    <row r="230" spans="9:10" ht="15.75" customHeight="1" x14ac:dyDescent="0.35">
      <c r="I230" s="90"/>
      <c r="J230" s="90"/>
    </row>
    <row r="231" spans="9:10" ht="15.75" customHeight="1" x14ac:dyDescent="0.35">
      <c r="I231" s="90"/>
      <c r="J231" s="90"/>
    </row>
    <row r="232" spans="9:10" ht="15.75" customHeight="1" x14ac:dyDescent="0.35">
      <c r="I232" s="90"/>
      <c r="J232" s="90"/>
    </row>
    <row r="233" spans="9:10" ht="15.75" customHeight="1" x14ac:dyDescent="0.35">
      <c r="I233" s="90"/>
      <c r="J233" s="90"/>
    </row>
    <row r="234" spans="9:10" ht="15.75" customHeight="1" x14ac:dyDescent="0.35">
      <c r="I234" s="90"/>
      <c r="J234" s="90"/>
    </row>
    <row r="235" spans="9:10" ht="15.75" customHeight="1" x14ac:dyDescent="0.35">
      <c r="I235" s="90"/>
      <c r="J235" s="90"/>
    </row>
    <row r="236" spans="9:10" ht="15.75" customHeight="1" x14ac:dyDescent="0.35">
      <c r="I236" s="90"/>
      <c r="J236" s="90"/>
    </row>
    <row r="237" spans="9:10" ht="15.75" customHeight="1" x14ac:dyDescent="0.35">
      <c r="I237" s="90"/>
      <c r="J237" s="90"/>
    </row>
    <row r="238" spans="9:10" ht="15.75" customHeight="1" x14ac:dyDescent="0.35">
      <c r="I238" s="90"/>
      <c r="J238" s="90"/>
    </row>
    <row r="239" spans="9:10" ht="15.75" customHeight="1" x14ac:dyDescent="0.35">
      <c r="I239" s="90"/>
      <c r="J239" s="90"/>
    </row>
    <row r="240" spans="9:10" ht="15.75" customHeight="1" x14ac:dyDescent="0.35">
      <c r="I240" s="90"/>
      <c r="J240" s="90"/>
    </row>
    <row r="241" spans="9:10" ht="15.75" customHeight="1" x14ac:dyDescent="0.35">
      <c r="I241" s="90"/>
      <c r="J241" s="90"/>
    </row>
    <row r="242" spans="9:10" ht="15.75" customHeight="1" x14ac:dyDescent="0.35">
      <c r="I242" s="90"/>
      <c r="J242" s="90"/>
    </row>
    <row r="243" spans="9:10" ht="15.75" customHeight="1" x14ac:dyDescent="0.35">
      <c r="I243" s="90"/>
      <c r="J243" s="90"/>
    </row>
    <row r="244" spans="9:10" ht="15.75" customHeight="1" x14ac:dyDescent="0.35">
      <c r="I244" s="90"/>
      <c r="J244" s="90"/>
    </row>
    <row r="245" spans="9:10" ht="15.75" customHeight="1" x14ac:dyDescent="0.35">
      <c r="I245" s="90"/>
      <c r="J245" s="90"/>
    </row>
    <row r="246" spans="9:10" ht="15.75" customHeight="1" x14ac:dyDescent="0.35">
      <c r="I246" s="90"/>
      <c r="J246" s="90"/>
    </row>
    <row r="247" spans="9:10" ht="15.75" customHeight="1" x14ac:dyDescent="0.35">
      <c r="I247" s="90"/>
      <c r="J247" s="90"/>
    </row>
    <row r="248" spans="9:10" ht="15.75" customHeight="1" x14ac:dyDescent="0.35">
      <c r="I248" s="90"/>
      <c r="J248" s="90"/>
    </row>
    <row r="249" spans="9:10" ht="15.75" customHeight="1" x14ac:dyDescent="0.35">
      <c r="I249" s="90"/>
      <c r="J249" s="90"/>
    </row>
    <row r="250" spans="9:10" ht="15.75" customHeight="1" x14ac:dyDescent="0.35">
      <c r="I250" s="90"/>
      <c r="J250" s="90"/>
    </row>
    <row r="251" spans="9:10" ht="15.75" customHeight="1" x14ac:dyDescent="0.35">
      <c r="I251" s="90"/>
      <c r="J251" s="90"/>
    </row>
    <row r="252" spans="9:10" ht="15.75" customHeight="1" x14ac:dyDescent="0.35">
      <c r="I252" s="90"/>
      <c r="J252" s="90"/>
    </row>
    <row r="253" spans="9:10" ht="15.75" customHeight="1" x14ac:dyDescent="0.35">
      <c r="I253" s="90"/>
      <c r="J253" s="90"/>
    </row>
    <row r="254" spans="9:10" ht="15.75" customHeight="1" x14ac:dyDescent="0.35">
      <c r="I254" s="90"/>
      <c r="J254" s="90"/>
    </row>
    <row r="255" spans="9:10" ht="15.75" customHeight="1" x14ac:dyDescent="0.35">
      <c r="I255" s="90"/>
      <c r="J255" s="90"/>
    </row>
    <row r="256" spans="9:10" ht="15.75" customHeight="1" x14ac:dyDescent="0.35">
      <c r="I256" s="90"/>
      <c r="J256" s="90"/>
    </row>
    <row r="257" spans="9:10" ht="15.75" customHeight="1" x14ac:dyDescent="0.35">
      <c r="I257" s="90"/>
      <c r="J257" s="90"/>
    </row>
    <row r="258" spans="9:10" ht="15.75" customHeight="1" x14ac:dyDescent="0.35">
      <c r="I258" s="90"/>
      <c r="J258" s="90"/>
    </row>
    <row r="259" spans="9:10" ht="15.75" customHeight="1" x14ac:dyDescent="0.35">
      <c r="I259" s="90"/>
      <c r="J259" s="90"/>
    </row>
    <row r="260" spans="9:10" ht="15.75" customHeight="1" x14ac:dyDescent="0.35">
      <c r="I260" s="90"/>
      <c r="J260" s="90"/>
    </row>
    <row r="261" spans="9:10" ht="15.75" customHeight="1" x14ac:dyDescent="0.35">
      <c r="I261" s="90"/>
      <c r="J261" s="90"/>
    </row>
    <row r="262" spans="9:10" ht="15.75" customHeight="1" x14ac:dyDescent="0.35">
      <c r="I262" s="90"/>
      <c r="J262" s="90"/>
    </row>
    <row r="263" spans="9:10" ht="15.75" customHeight="1" x14ac:dyDescent="0.35">
      <c r="I263" s="90"/>
      <c r="J263" s="90"/>
    </row>
    <row r="264" spans="9:10" ht="15.75" customHeight="1" x14ac:dyDescent="0.35">
      <c r="I264" s="90"/>
      <c r="J264" s="90"/>
    </row>
    <row r="265" spans="9:10" ht="15.75" customHeight="1" x14ac:dyDescent="0.35">
      <c r="I265" s="90"/>
      <c r="J265" s="90"/>
    </row>
    <row r="266" spans="9:10" ht="15.75" customHeight="1" x14ac:dyDescent="0.35">
      <c r="I266" s="90"/>
      <c r="J266" s="90"/>
    </row>
    <row r="267" spans="9:10" ht="15.75" customHeight="1" x14ac:dyDescent="0.35">
      <c r="I267" s="90"/>
      <c r="J267" s="90"/>
    </row>
    <row r="268" spans="9:10" ht="15.75" customHeight="1" x14ac:dyDescent="0.35">
      <c r="I268" s="90"/>
      <c r="J268" s="90"/>
    </row>
    <row r="269" spans="9:10" ht="15.75" customHeight="1" x14ac:dyDescent="0.35">
      <c r="I269" s="90"/>
      <c r="J269" s="90"/>
    </row>
    <row r="270" spans="9:10" ht="15.75" customHeight="1" x14ac:dyDescent="0.35">
      <c r="I270" s="90"/>
      <c r="J270" s="90"/>
    </row>
    <row r="271" spans="9:10" ht="15.75" customHeight="1" x14ac:dyDescent="0.35">
      <c r="I271" s="90"/>
      <c r="J271" s="90"/>
    </row>
    <row r="272" spans="9:10" ht="15.75" customHeight="1" x14ac:dyDescent="0.35">
      <c r="I272" s="90"/>
      <c r="J272" s="90"/>
    </row>
    <row r="273" spans="9:10" ht="15.75" customHeight="1" x14ac:dyDescent="0.35">
      <c r="I273" s="90"/>
      <c r="J273" s="90"/>
    </row>
    <row r="274" spans="9:10" ht="15.75" customHeight="1" x14ac:dyDescent="0.35">
      <c r="I274" s="90"/>
      <c r="J274" s="90"/>
    </row>
    <row r="275" spans="9:10" ht="15.75" customHeight="1" x14ac:dyDescent="0.35">
      <c r="I275" s="90"/>
      <c r="J275" s="90"/>
    </row>
    <row r="276" spans="9:10" ht="15.75" customHeight="1" x14ac:dyDescent="0.35">
      <c r="I276" s="90"/>
      <c r="J276" s="90"/>
    </row>
    <row r="277" spans="9:10" ht="15.75" customHeight="1" x14ac:dyDescent="0.35">
      <c r="I277" s="90"/>
      <c r="J277" s="90"/>
    </row>
    <row r="278" spans="9:10" ht="15.75" customHeight="1" x14ac:dyDescent="0.35">
      <c r="I278" s="90"/>
      <c r="J278" s="90"/>
    </row>
    <row r="279" spans="9:10" ht="15.75" customHeight="1" x14ac:dyDescent="0.35">
      <c r="I279" s="90"/>
      <c r="J279" s="90"/>
    </row>
    <row r="280" spans="9:10" ht="15.75" customHeight="1" x14ac:dyDescent="0.35">
      <c r="I280" s="90"/>
      <c r="J280" s="90"/>
    </row>
    <row r="281" spans="9:10" ht="15.75" customHeight="1" x14ac:dyDescent="0.35">
      <c r="I281" s="90"/>
      <c r="J281" s="90"/>
    </row>
    <row r="282" spans="9:10" ht="15.75" customHeight="1" x14ac:dyDescent="0.35">
      <c r="I282" s="90"/>
      <c r="J282" s="90"/>
    </row>
    <row r="283" spans="9:10" ht="15.75" customHeight="1" x14ac:dyDescent="0.35">
      <c r="I283" s="90"/>
      <c r="J283" s="90"/>
    </row>
    <row r="284" spans="9:10" ht="15.75" customHeight="1" x14ac:dyDescent="0.35">
      <c r="I284" s="90"/>
      <c r="J284" s="90"/>
    </row>
    <row r="285" spans="9:10" ht="15.75" customHeight="1" x14ac:dyDescent="0.35">
      <c r="I285" s="90"/>
      <c r="J285" s="90"/>
    </row>
    <row r="286" spans="9:10" ht="15.75" customHeight="1" x14ac:dyDescent="0.35">
      <c r="I286" s="90"/>
      <c r="J286" s="90"/>
    </row>
    <row r="287" spans="9:10" ht="15.75" customHeight="1" x14ac:dyDescent="0.35">
      <c r="I287" s="90"/>
      <c r="J287" s="90"/>
    </row>
    <row r="288" spans="9:10" ht="15.75" customHeight="1" x14ac:dyDescent="0.35">
      <c r="I288" s="90"/>
      <c r="J288" s="90"/>
    </row>
    <row r="289" spans="9:10" ht="15.75" customHeight="1" x14ac:dyDescent="0.35">
      <c r="I289" s="90"/>
      <c r="J289" s="90"/>
    </row>
    <row r="290" spans="9:10" ht="15.75" customHeight="1" x14ac:dyDescent="0.35">
      <c r="I290" s="90"/>
      <c r="J290" s="90"/>
    </row>
    <row r="291" spans="9:10" ht="15.75" customHeight="1" x14ac:dyDescent="0.35">
      <c r="I291" s="90"/>
      <c r="J291" s="90"/>
    </row>
    <row r="292" spans="9:10" ht="15.75" customHeight="1" x14ac:dyDescent="0.35">
      <c r="I292" s="90"/>
      <c r="J292" s="90"/>
    </row>
    <row r="293" spans="9:10" ht="15.75" customHeight="1" x14ac:dyDescent="0.35">
      <c r="I293" s="90"/>
      <c r="J293" s="90"/>
    </row>
    <row r="294" spans="9:10" ht="15.75" customHeight="1" x14ac:dyDescent="0.35">
      <c r="I294" s="90"/>
      <c r="J294" s="90"/>
    </row>
    <row r="295" spans="9:10" ht="15.75" customHeight="1" x14ac:dyDescent="0.35">
      <c r="I295" s="90"/>
      <c r="J295" s="90"/>
    </row>
    <row r="296" spans="9:10" ht="15.75" customHeight="1" x14ac:dyDescent="0.35">
      <c r="I296" s="90"/>
      <c r="J296" s="90"/>
    </row>
    <row r="297" spans="9:10" ht="15.75" customHeight="1" x14ac:dyDescent="0.35">
      <c r="I297" s="90"/>
      <c r="J297" s="90"/>
    </row>
    <row r="298" spans="9:10" ht="15.75" customHeight="1" x14ac:dyDescent="0.35">
      <c r="I298" s="90"/>
      <c r="J298" s="90"/>
    </row>
    <row r="299" spans="9:10" ht="15.75" customHeight="1" x14ac:dyDescent="0.35">
      <c r="I299" s="90"/>
      <c r="J299" s="90"/>
    </row>
    <row r="300" spans="9:10" ht="15.75" customHeight="1" x14ac:dyDescent="0.35">
      <c r="I300" s="90"/>
      <c r="J300" s="90"/>
    </row>
    <row r="301" spans="9:10" ht="15.75" customHeight="1" x14ac:dyDescent="0.35">
      <c r="I301" s="90"/>
      <c r="J301" s="90"/>
    </row>
    <row r="302" spans="9:10" ht="15.75" customHeight="1" x14ac:dyDescent="0.35">
      <c r="I302" s="90"/>
      <c r="J302" s="90"/>
    </row>
    <row r="303" spans="9:10" ht="15.75" customHeight="1" x14ac:dyDescent="0.35">
      <c r="I303" s="90"/>
      <c r="J303" s="90"/>
    </row>
    <row r="304" spans="9:10" ht="15.75" customHeight="1" x14ac:dyDescent="0.35">
      <c r="I304" s="90"/>
      <c r="J304" s="90"/>
    </row>
    <row r="305" spans="9:10" ht="15.75" customHeight="1" x14ac:dyDescent="0.35">
      <c r="I305" s="90"/>
      <c r="J305" s="90"/>
    </row>
    <row r="306" spans="9:10" ht="15.75" customHeight="1" x14ac:dyDescent="0.35">
      <c r="I306" s="90"/>
      <c r="J306" s="90"/>
    </row>
    <row r="307" spans="9:10" ht="15.75" customHeight="1" x14ac:dyDescent="0.35">
      <c r="I307" s="90"/>
      <c r="J307" s="90"/>
    </row>
    <row r="308" spans="9:10" ht="15.75" customHeight="1" x14ac:dyDescent="0.35">
      <c r="I308" s="90"/>
      <c r="J308" s="90"/>
    </row>
    <row r="309" spans="9:10" ht="15.75" customHeight="1" x14ac:dyDescent="0.35">
      <c r="I309" s="90"/>
      <c r="J309" s="90"/>
    </row>
    <row r="310" spans="9:10" ht="15.75" customHeight="1" x14ac:dyDescent="0.35">
      <c r="I310" s="90"/>
      <c r="J310" s="90"/>
    </row>
    <row r="311" spans="9:10" ht="15.75" customHeight="1" x14ac:dyDescent="0.35">
      <c r="I311" s="90"/>
      <c r="J311" s="90"/>
    </row>
    <row r="312" spans="9:10" ht="15.75" customHeight="1" x14ac:dyDescent="0.35">
      <c r="I312" s="90"/>
      <c r="J312" s="90"/>
    </row>
    <row r="313" spans="9:10" ht="15.75" customHeight="1" x14ac:dyDescent="0.35">
      <c r="I313" s="90"/>
      <c r="J313" s="90"/>
    </row>
    <row r="314" spans="9:10" ht="15.75" customHeight="1" x14ac:dyDescent="0.35">
      <c r="I314" s="90"/>
      <c r="J314" s="90"/>
    </row>
    <row r="315" spans="9:10" ht="15.75" customHeight="1" x14ac:dyDescent="0.35">
      <c r="I315" s="90"/>
      <c r="J315" s="90"/>
    </row>
    <row r="316" spans="9:10" ht="15.75" customHeight="1" x14ac:dyDescent="0.35">
      <c r="I316" s="90"/>
      <c r="J316" s="90"/>
    </row>
    <row r="317" spans="9:10" ht="15.75" customHeight="1" x14ac:dyDescent="0.35">
      <c r="I317" s="90"/>
      <c r="J317" s="90"/>
    </row>
    <row r="318" spans="9:10" ht="15.75" customHeight="1" x14ac:dyDescent="0.35">
      <c r="I318" s="90"/>
      <c r="J318" s="90"/>
    </row>
    <row r="319" spans="9:10" ht="15.75" customHeight="1" x14ac:dyDescent="0.35">
      <c r="I319" s="90"/>
      <c r="J319" s="90"/>
    </row>
    <row r="320" spans="9:10" ht="15.75" customHeight="1" x14ac:dyDescent="0.35">
      <c r="I320" s="90"/>
      <c r="J320" s="90"/>
    </row>
    <row r="321" spans="9:10" ht="15.75" customHeight="1" x14ac:dyDescent="0.35">
      <c r="I321" s="90"/>
      <c r="J321" s="90"/>
    </row>
    <row r="322" spans="9:10" ht="15.75" customHeight="1" x14ac:dyDescent="0.35">
      <c r="I322" s="90"/>
      <c r="J322" s="90"/>
    </row>
    <row r="323" spans="9:10" ht="15.75" customHeight="1" x14ac:dyDescent="0.35">
      <c r="I323" s="90"/>
      <c r="J323" s="90"/>
    </row>
    <row r="324" spans="9:10" ht="15.75" customHeight="1" x14ac:dyDescent="0.35">
      <c r="I324" s="90"/>
      <c r="J324" s="90"/>
    </row>
    <row r="325" spans="9:10" ht="15.75" customHeight="1" x14ac:dyDescent="0.35">
      <c r="I325" s="90"/>
      <c r="J325" s="90"/>
    </row>
    <row r="326" spans="9:10" ht="15.75" customHeight="1" x14ac:dyDescent="0.35">
      <c r="I326" s="90"/>
      <c r="J326" s="90"/>
    </row>
    <row r="327" spans="9:10" ht="15.75" customHeight="1" x14ac:dyDescent="0.35">
      <c r="I327" s="90"/>
      <c r="J327" s="90"/>
    </row>
    <row r="328" spans="9:10" ht="15.75" customHeight="1" x14ac:dyDescent="0.35">
      <c r="I328" s="90"/>
      <c r="J328" s="90"/>
    </row>
    <row r="329" spans="9:10" ht="15.75" customHeight="1" x14ac:dyDescent="0.35">
      <c r="I329" s="90"/>
      <c r="J329" s="90"/>
    </row>
    <row r="330" spans="9:10" ht="15.75" customHeight="1" x14ac:dyDescent="0.35">
      <c r="I330" s="90"/>
      <c r="J330" s="90"/>
    </row>
    <row r="331" spans="9:10" ht="15.75" customHeight="1" x14ac:dyDescent="0.35">
      <c r="I331" s="90"/>
      <c r="J331" s="90"/>
    </row>
    <row r="332" spans="9:10" ht="15.75" customHeight="1" x14ac:dyDescent="0.35">
      <c r="I332" s="90"/>
      <c r="J332" s="90"/>
    </row>
    <row r="333" spans="9:10" ht="15.75" customHeight="1" x14ac:dyDescent="0.35">
      <c r="I333" s="90"/>
      <c r="J333" s="90"/>
    </row>
    <row r="334" spans="9:10" ht="15.75" customHeight="1" x14ac:dyDescent="0.35">
      <c r="I334" s="90"/>
      <c r="J334" s="90"/>
    </row>
    <row r="335" spans="9:10" ht="15.75" customHeight="1" x14ac:dyDescent="0.35">
      <c r="I335" s="90"/>
      <c r="J335" s="90"/>
    </row>
    <row r="336" spans="9:10" ht="15.75" customHeight="1" x14ac:dyDescent="0.35">
      <c r="I336" s="90"/>
      <c r="J336" s="90"/>
    </row>
    <row r="337" spans="9:10" ht="15.75" customHeight="1" x14ac:dyDescent="0.35">
      <c r="I337" s="90"/>
      <c r="J337" s="90"/>
    </row>
    <row r="338" spans="9:10" ht="15.75" customHeight="1" x14ac:dyDescent="0.35">
      <c r="I338" s="90"/>
      <c r="J338" s="90"/>
    </row>
    <row r="339" spans="9:10" ht="15.75" customHeight="1" x14ac:dyDescent="0.35">
      <c r="I339" s="90"/>
      <c r="J339" s="90"/>
    </row>
    <row r="340" spans="9:10" ht="15.75" customHeight="1" x14ac:dyDescent="0.35">
      <c r="I340" s="90"/>
      <c r="J340" s="90"/>
    </row>
    <row r="341" spans="9:10" ht="15.75" customHeight="1" x14ac:dyDescent="0.35">
      <c r="I341" s="90"/>
      <c r="J341" s="90"/>
    </row>
    <row r="342" spans="9:10" ht="15.75" customHeight="1" x14ac:dyDescent="0.35">
      <c r="I342" s="90"/>
      <c r="J342" s="90"/>
    </row>
    <row r="343" spans="9:10" ht="15.75" customHeight="1" x14ac:dyDescent="0.35">
      <c r="I343" s="90"/>
      <c r="J343" s="90"/>
    </row>
    <row r="344" spans="9:10" ht="15.75" customHeight="1" x14ac:dyDescent="0.35">
      <c r="I344" s="90"/>
      <c r="J344" s="90"/>
    </row>
    <row r="345" spans="9:10" ht="15.75" customHeight="1" x14ac:dyDescent="0.35">
      <c r="I345" s="90"/>
      <c r="J345" s="90"/>
    </row>
    <row r="346" spans="9:10" ht="15.75" customHeight="1" x14ac:dyDescent="0.35">
      <c r="I346" s="90"/>
      <c r="J346" s="90"/>
    </row>
    <row r="347" spans="9:10" ht="15.75" customHeight="1" x14ac:dyDescent="0.35">
      <c r="I347" s="90"/>
      <c r="J347" s="90"/>
    </row>
    <row r="348" spans="9:10" ht="15.75" customHeight="1" x14ac:dyDescent="0.35">
      <c r="I348" s="90"/>
      <c r="J348" s="90"/>
    </row>
    <row r="349" spans="9:10" ht="15.75" customHeight="1" x14ac:dyDescent="0.35">
      <c r="I349" s="90"/>
      <c r="J349" s="90"/>
    </row>
    <row r="350" spans="9:10" ht="15.75" customHeight="1" x14ac:dyDescent="0.35">
      <c r="I350" s="90"/>
      <c r="J350" s="90"/>
    </row>
    <row r="351" spans="9:10" ht="15.75" customHeight="1" x14ac:dyDescent="0.35">
      <c r="I351" s="90"/>
      <c r="J351" s="90"/>
    </row>
    <row r="352" spans="9:10" ht="15.75" customHeight="1" x14ac:dyDescent="0.35">
      <c r="I352" s="90"/>
      <c r="J352" s="90"/>
    </row>
    <row r="353" spans="9:10" ht="15.75" customHeight="1" x14ac:dyDescent="0.35">
      <c r="I353" s="90"/>
      <c r="J353" s="90"/>
    </row>
    <row r="354" spans="9:10" ht="15.75" customHeight="1" x14ac:dyDescent="0.35">
      <c r="I354" s="90"/>
      <c r="J354" s="90"/>
    </row>
    <row r="355" spans="9:10" ht="15.75" customHeight="1" x14ac:dyDescent="0.35">
      <c r="I355" s="90"/>
      <c r="J355" s="90"/>
    </row>
    <row r="356" spans="9:10" ht="15.75" customHeight="1" x14ac:dyDescent="0.35">
      <c r="I356" s="90"/>
      <c r="J356" s="90"/>
    </row>
    <row r="357" spans="9:10" ht="15.75" customHeight="1" x14ac:dyDescent="0.35">
      <c r="I357" s="90"/>
      <c r="J357" s="90"/>
    </row>
    <row r="358" spans="9:10" ht="15.75" customHeight="1" x14ac:dyDescent="0.35">
      <c r="I358" s="90"/>
      <c r="J358" s="90"/>
    </row>
    <row r="359" spans="9:10" ht="15.75" customHeight="1" x14ac:dyDescent="0.35">
      <c r="I359" s="90"/>
      <c r="J359" s="90"/>
    </row>
    <row r="360" spans="9:10" ht="15.75" customHeight="1" x14ac:dyDescent="0.35">
      <c r="I360" s="90"/>
      <c r="J360" s="90"/>
    </row>
    <row r="361" spans="9:10" ht="15.75" customHeight="1" x14ac:dyDescent="0.35">
      <c r="I361" s="90"/>
      <c r="J361" s="90"/>
    </row>
    <row r="362" spans="9:10" ht="15.75" customHeight="1" x14ac:dyDescent="0.35">
      <c r="I362" s="90"/>
      <c r="J362" s="90"/>
    </row>
    <row r="363" spans="9:10" ht="15.75" customHeight="1" x14ac:dyDescent="0.35">
      <c r="I363" s="90"/>
      <c r="J363" s="90"/>
    </row>
    <row r="364" spans="9:10" ht="15.75" customHeight="1" x14ac:dyDescent="0.35">
      <c r="I364" s="90"/>
      <c r="J364" s="90"/>
    </row>
    <row r="365" spans="9:10" ht="15.75" customHeight="1" x14ac:dyDescent="0.35">
      <c r="I365" s="90"/>
      <c r="J365" s="90"/>
    </row>
    <row r="366" spans="9:10" ht="15.75" customHeight="1" x14ac:dyDescent="0.35">
      <c r="I366" s="90"/>
      <c r="J366" s="90"/>
    </row>
    <row r="367" spans="9:10" ht="15.75" customHeight="1" x14ac:dyDescent="0.35">
      <c r="I367" s="90"/>
      <c r="J367" s="90"/>
    </row>
    <row r="368" spans="9:10" ht="15.75" customHeight="1" x14ac:dyDescent="0.35">
      <c r="I368" s="90"/>
      <c r="J368" s="90"/>
    </row>
    <row r="369" spans="9:10" ht="15.75" customHeight="1" x14ac:dyDescent="0.35">
      <c r="I369" s="90"/>
      <c r="J369" s="90"/>
    </row>
    <row r="370" spans="9:10" ht="15.75" customHeight="1" x14ac:dyDescent="0.35">
      <c r="I370" s="90"/>
      <c r="J370" s="90"/>
    </row>
    <row r="371" spans="9:10" ht="15.75" customHeight="1" x14ac:dyDescent="0.35">
      <c r="I371" s="90"/>
      <c r="J371" s="90"/>
    </row>
    <row r="372" spans="9:10" ht="15.75" customHeight="1" x14ac:dyDescent="0.35">
      <c r="I372" s="90"/>
      <c r="J372" s="90"/>
    </row>
    <row r="373" spans="9:10" ht="15.75" customHeight="1" x14ac:dyDescent="0.35">
      <c r="I373" s="90"/>
      <c r="J373" s="90"/>
    </row>
    <row r="374" spans="9:10" ht="15.75" customHeight="1" x14ac:dyDescent="0.35">
      <c r="I374" s="90"/>
      <c r="J374" s="90"/>
    </row>
    <row r="375" spans="9:10" ht="15.75" customHeight="1" x14ac:dyDescent="0.35">
      <c r="I375" s="90"/>
      <c r="J375" s="90"/>
    </row>
    <row r="376" spans="9:10" ht="15.75" customHeight="1" x14ac:dyDescent="0.35">
      <c r="I376" s="90"/>
      <c r="J376" s="90"/>
    </row>
    <row r="377" spans="9:10" ht="15.75" customHeight="1" x14ac:dyDescent="0.35">
      <c r="I377" s="90"/>
      <c r="J377" s="90"/>
    </row>
    <row r="378" spans="9:10" ht="15.75" customHeight="1" x14ac:dyDescent="0.35">
      <c r="I378" s="90"/>
      <c r="J378" s="90"/>
    </row>
    <row r="379" spans="9:10" ht="15.75" customHeight="1" x14ac:dyDescent="0.35">
      <c r="I379" s="90"/>
      <c r="J379" s="90"/>
    </row>
    <row r="380" spans="9:10" ht="15.75" customHeight="1" x14ac:dyDescent="0.35">
      <c r="I380" s="90"/>
      <c r="J380" s="90"/>
    </row>
    <row r="381" spans="9:10" ht="15.75" customHeight="1" x14ac:dyDescent="0.35">
      <c r="I381" s="90"/>
      <c r="J381" s="90"/>
    </row>
    <row r="382" spans="9:10" ht="15.75" customHeight="1" x14ac:dyDescent="0.35">
      <c r="I382" s="90"/>
      <c r="J382" s="90"/>
    </row>
    <row r="383" spans="9:10" ht="15.75" customHeight="1" x14ac:dyDescent="0.35">
      <c r="I383" s="90"/>
      <c r="J383" s="90"/>
    </row>
    <row r="384" spans="9:10" ht="15.75" customHeight="1" x14ac:dyDescent="0.35">
      <c r="I384" s="90"/>
      <c r="J384" s="90"/>
    </row>
    <row r="385" spans="9:10" ht="15.75" customHeight="1" x14ac:dyDescent="0.35">
      <c r="I385" s="90"/>
      <c r="J385" s="90"/>
    </row>
    <row r="386" spans="9:10" ht="15.75" customHeight="1" x14ac:dyDescent="0.35">
      <c r="I386" s="90"/>
      <c r="J386" s="90"/>
    </row>
    <row r="387" spans="9:10" ht="15.75" customHeight="1" x14ac:dyDescent="0.35">
      <c r="I387" s="90"/>
      <c r="J387" s="90"/>
    </row>
    <row r="388" spans="9:10" ht="15.75" customHeight="1" x14ac:dyDescent="0.35">
      <c r="I388" s="90"/>
      <c r="J388" s="90"/>
    </row>
    <row r="389" spans="9:10" ht="15.75" customHeight="1" x14ac:dyDescent="0.35">
      <c r="I389" s="90"/>
      <c r="J389" s="90"/>
    </row>
    <row r="390" spans="9:10" ht="15.75" customHeight="1" x14ac:dyDescent="0.35">
      <c r="I390" s="90"/>
      <c r="J390" s="90"/>
    </row>
    <row r="391" spans="9:10" ht="15.75" customHeight="1" x14ac:dyDescent="0.35">
      <c r="I391" s="90"/>
      <c r="J391" s="90"/>
    </row>
    <row r="392" spans="9:10" ht="15.75" customHeight="1" x14ac:dyDescent="0.35">
      <c r="I392" s="90"/>
      <c r="J392" s="90"/>
    </row>
    <row r="393" spans="9:10" ht="15.75" customHeight="1" x14ac:dyDescent="0.35">
      <c r="I393" s="90"/>
      <c r="J393" s="90"/>
    </row>
    <row r="394" spans="9:10" ht="15.75" customHeight="1" x14ac:dyDescent="0.35">
      <c r="I394" s="90"/>
      <c r="J394" s="90"/>
    </row>
    <row r="395" spans="9:10" ht="15.75" customHeight="1" x14ac:dyDescent="0.35">
      <c r="I395" s="90"/>
      <c r="J395" s="90"/>
    </row>
    <row r="396" spans="9:10" ht="15.75" customHeight="1" x14ac:dyDescent="0.35">
      <c r="I396" s="90"/>
      <c r="J396" s="90"/>
    </row>
    <row r="397" spans="9:10" ht="15.75" customHeight="1" x14ac:dyDescent="0.35">
      <c r="I397" s="90"/>
      <c r="J397" s="90"/>
    </row>
    <row r="398" spans="9:10" ht="15.75" customHeight="1" x14ac:dyDescent="0.35">
      <c r="I398" s="90"/>
      <c r="J398" s="90"/>
    </row>
    <row r="399" spans="9:10" ht="15.75" customHeight="1" x14ac:dyDescent="0.35">
      <c r="I399" s="90"/>
      <c r="J399" s="90"/>
    </row>
    <row r="400" spans="9:10" ht="15.75" customHeight="1" x14ac:dyDescent="0.35">
      <c r="I400" s="90"/>
      <c r="J400" s="90"/>
    </row>
    <row r="401" spans="9:10" ht="15.75" customHeight="1" x14ac:dyDescent="0.35">
      <c r="I401" s="90"/>
      <c r="J401" s="90"/>
    </row>
    <row r="402" spans="9:10" ht="15.75" customHeight="1" x14ac:dyDescent="0.35">
      <c r="I402" s="90"/>
      <c r="J402" s="90"/>
    </row>
    <row r="403" spans="9:10" ht="15.75" customHeight="1" x14ac:dyDescent="0.35">
      <c r="I403" s="90"/>
      <c r="J403" s="90"/>
    </row>
    <row r="404" spans="9:10" ht="15.75" customHeight="1" x14ac:dyDescent="0.35">
      <c r="I404" s="90"/>
      <c r="J404" s="90"/>
    </row>
    <row r="405" spans="9:10" ht="15.75" customHeight="1" x14ac:dyDescent="0.35">
      <c r="I405" s="90"/>
      <c r="J405" s="90"/>
    </row>
    <row r="406" spans="9:10" ht="15.75" customHeight="1" x14ac:dyDescent="0.35">
      <c r="I406" s="90"/>
      <c r="J406" s="90"/>
    </row>
    <row r="407" spans="9:10" ht="15.75" customHeight="1" x14ac:dyDescent="0.35">
      <c r="I407" s="90"/>
      <c r="J407" s="90"/>
    </row>
    <row r="408" spans="9:10" ht="15.75" customHeight="1" x14ac:dyDescent="0.35">
      <c r="I408" s="90"/>
      <c r="J408" s="90"/>
    </row>
    <row r="409" spans="9:10" ht="15.75" customHeight="1" x14ac:dyDescent="0.35">
      <c r="I409" s="90"/>
      <c r="J409" s="90"/>
    </row>
    <row r="410" spans="9:10" ht="15.75" customHeight="1" x14ac:dyDescent="0.35">
      <c r="I410" s="90"/>
      <c r="J410" s="90"/>
    </row>
    <row r="411" spans="9:10" ht="15.75" customHeight="1" x14ac:dyDescent="0.35">
      <c r="I411" s="90"/>
      <c r="J411" s="90"/>
    </row>
    <row r="412" spans="9:10" ht="15.75" customHeight="1" x14ac:dyDescent="0.35">
      <c r="I412" s="90"/>
      <c r="J412" s="90"/>
    </row>
    <row r="413" spans="9:10" ht="15.75" customHeight="1" x14ac:dyDescent="0.35">
      <c r="I413" s="90"/>
      <c r="J413" s="90"/>
    </row>
    <row r="414" spans="9:10" ht="15.75" customHeight="1" x14ac:dyDescent="0.35">
      <c r="I414" s="90"/>
      <c r="J414" s="90"/>
    </row>
    <row r="415" spans="9:10" ht="15.75" customHeight="1" x14ac:dyDescent="0.35">
      <c r="I415" s="90"/>
      <c r="J415" s="90"/>
    </row>
    <row r="416" spans="9:10" ht="15.75" customHeight="1" x14ac:dyDescent="0.35">
      <c r="I416" s="90"/>
      <c r="J416" s="90"/>
    </row>
    <row r="417" spans="9:10" ht="15.75" customHeight="1" x14ac:dyDescent="0.35">
      <c r="I417" s="90"/>
      <c r="J417" s="90"/>
    </row>
    <row r="418" spans="9:10" ht="15.75" customHeight="1" x14ac:dyDescent="0.35">
      <c r="I418" s="90"/>
      <c r="J418" s="90"/>
    </row>
    <row r="419" spans="9:10" ht="15.75" customHeight="1" x14ac:dyDescent="0.35">
      <c r="I419" s="90"/>
      <c r="J419" s="90"/>
    </row>
    <row r="420" spans="9:10" ht="15.75" customHeight="1" x14ac:dyDescent="0.35">
      <c r="I420" s="90"/>
      <c r="J420" s="90"/>
    </row>
    <row r="421" spans="9:10" ht="15.75" customHeight="1" x14ac:dyDescent="0.35">
      <c r="I421" s="90"/>
      <c r="J421" s="90"/>
    </row>
    <row r="422" spans="9:10" ht="15.75" customHeight="1" x14ac:dyDescent="0.35">
      <c r="I422" s="90"/>
      <c r="J422" s="90"/>
    </row>
    <row r="423" spans="9:10" ht="15.75" customHeight="1" x14ac:dyDescent="0.35">
      <c r="I423" s="90"/>
      <c r="J423" s="90"/>
    </row>
    <row r="424" spans="9:10" ht="15.75" customHeight="1" x14ac:dyDescent="0.35">
      <c r="I424" s="90"/>
      <c r="J424" s="90"/>
    </row>
    <row r="425" spans="9:10" ht="15.75" customHeight="1" x14ac:dyDescent="0.35">
      <c r="I425" s="90"/>
      <c r="J425" s="90"/>
    </row>
    <row r="426" spans="9:10" ht="15.75" customHeight="1" x14ac:dyDescent="0.35">
      <c r="I426" s="90"/>
      <c r="J426" s="90"/>
    </row>
    <row r="427" spans="9:10" ht="15.75" customHeight="1" x14ac:dyDescent="0.35">
      <c r="I427" s="90"/>
      <c r="J427" s="90"/>
    </row>
    <row r="428" spans="9:10" ht="15.75" customHeight="1" x14ac:dyDescent="0.35">
      <c r="I428" s="90"/>
      <c r="J428" s="90"/>
    </row>
    <row r="429" spans="9:10" ht="15.75" customHeight="1" x14ac:dyDescent="0.35">
      <c r="I429" s="90"/>
      <c r="J429" s="90"/>
    </row>
    <row r="430" spans="9:10" ht="15.75" customHeight="1" x14ac:dyDescent="0.35">
      <c r="I430" s="90"/>
      <c r="J430" s="90"/>
    </row>
    <row r="431" spans="9:10" ht="15.75" customHeight="1" x14ac:dyDescent="0.35">
      <c r="I431" s="90"/>
      <c r="J431" s="90"/>
    </row>
    <row r="432" spans="9:10" ht="15.75" customHeight="1" x14ac:dyDescent="0.35">
      <c r="I432" s="90"/>
      <c r="J432" s="90"/>
    </row>
    <row r="433" spans="9:10" ht="15.75" customHeight="1" x14ac:dyDescent="0.35">
      <c r="I433" s="90"/>
      <c r="J433" s="90"/>
    </row>
    <row r="434" spans="9:10" ht="15.75" customHeight="1" x14ac:dyDescent="0.35">
      <c r="I434" s="90"/>
      <c r="J434" s="90"/>
    </row>
    <row r="435" spans="9:10" ht="15.75" customHeight="1" x14ac:dyDescent="0.35">
      <c r="I435" s="90"/>
      <c r="J435" s="90"/>
    </row>
    <row r="436" spans="9:10" ht="15.75" customHeight="1" x14ac:dyDescent="0.35">
      <c r="I436" s="90"/>
      <c r="J436" s="90"/>
    </row>
    <row r="437" spans="9:10" ht="15.75" customHeight="1" x14ac:dyDescent="0.35">
      <c r="I437" s="90"/>
      <c r="J437" s="90"/>
    </row>
    <row r="438" spans="9:10" ht="15.75" customHeight="1" x14ac:dyDescent="0.35">
      <c r="I438" s="90"/>
      <c r="J438" s="90"/>
    </row>
    <row r="439" spans="9:10" ht="15.75" customHeight="1" x14ac:dyDescent="0.35">
      <c r="I439" s="90"/>
      <c r="J439" s="90"/>
    </row>
    <row r="440" spans="9:10" ht="15.75" customHeight="1" x14ac:dyDescent="0.35">
      <c r="I440" s="90"/>
      <c r="J440" s="90"/>
    </row>
    <row r="441" spans="9:10" ht="15.75" customHeight="1" x14ac:dyDescent="0.35">
      <c r="I441" s="90"/>
      <c r="J441" s="90"/>
    </row>
    <row r="442" spans="9:10" ht="15.75" customHeight="1" x14ac:dyDescent="0.35">
      <c r="I442" s="90"/>
      <c r="J442" s="90"/>
    </row>
    <row r="443" spans="9:10" ht="15.75" customHeight="1" x14ac:dyDescent="0.35">
      <c r="I443" s="90"/>
      <c r="J443" s="90"/>
    </row>
    <row r="444" spans="9:10" ht="15.75" customHeight="1" x14ac:dyDescent="0.35">
      <c r="I444" s="90"/>
      <c r="J444" s="90"/>
    </row>
    <row r="445" spans="9:10" ht="15.75" customHeight="1" x14ac:dyDescent="0.35">
      <c r="I445" s="90"/>
      <c r="J445" s="90"/>
    </row>
    <row r="446" spans="9:10" ht="15.75" customHeight="1" x14ac:dyDescent="0.35">
      <c r="I446" s="90"/>
      <c r="J446" s="90"/>
    </row>
    <row r="447" spans="9:10" ht="15.75" customHeight="1" x14ac:dyDescent="0.35">
      <c r="I447" s="90"/>
      <c r="J447" s="90"/>
    </row>
    <row r="448" spans="9:10" ht="15.75" customHeight="1" x14ac:dyDescent="0.35">
      <c r="I448" s="90"/>
      <c r="J448" s="90"/>
    </row>
    <row r="449" spans="9:10" ht="15.75" customHeight="1" x14ac:dyDescent="0.35">
      <c r="I449" s="90"/>
      <c r="J449" s="90"/>
    </row>
    <row r="450" spans="9:10" ht="15.75" customHeight="1" x14ac:dyDescent="0.35">
      <c r="I450" s="90"/>
      <c r="J450" s="90"/>
    </row>
    <row r="451" spans="9:10" ht="15.75" customHeight="1" x14ac:dyDescent="0.35">
      <c r="I451" s="90"/>
      <c r="J451" s="90"/>
    </row>
    <row r="452" spans="9:10" ht="15.75" customHeight="1" x14ac:dyDescent="0.35">
      <c r="I452" s="90"/>
      <c r="J452" s="90"/>
    </row>
    <row r="453" spans="9:10" ht="15.75" customHeight="1" x14ac:dyDescent="0.35">
      <c r="I453" s="90"/>
      <c r="J453" s="90"/>
    </row>
    <row r="454" spans="9:10" ht="15.75" customHeight="1" x14ac:dyDescent="0.35">
      <c r="I454" s="90"/>
      <c r="J454" s="90"/>
    </row>
    <row r="455" spans="9:10" ht="15.75" customHeight="1" x14ac:dyDescent="0.35">
      <c r="I455" s="90"/>
      <c r="J455" s="90"/>
    </row>
    <row r="456" spans="9:10" ht="15.75" customHeight="1" x14ac:dyDescent="0.35">
      <c r="I456" s="90"/>
      <c r="J456" s="90"/>
    </row>
    <row r="457" spans="9:10" ht="15.75" customHeight="1" x14ac:dyDescent="0.35">
      <c r="I457" s="90"/>
      <c r="J457" s="90"/>
    </row>
    <row r="458" spans="9:10" ht="15.75" customHeight="1" x14ac:dyDescent="0.35">
      <c r="I458" s="90"/>
      <c r="J458" s="90"/>
    </row>
    <row r="459" spans="9:10" ht="15.75" customHeight="1" x14ac:dyDescent="0.35">
      <c r="I459" s="90"/>
      <c r="J459" s="90"/>
    </row>
    <row r="460" spans="9:10" ht="15.75" customHeight="1" x14ac:dyDescent="0.35">
      <c r="I460" s="90"/>
      <c r="J460" s="90"/>
    </row>
    <row r="461" spans="9:10" ht="15.75" customHeight="1" x14ac:dyDescent="0.35">
      <c r="I461" s="90"/>
      <c r="J461" s="90"/>
    </row>
    <row r="462" spans="9:10" ht="15.75" customHeight="1" x14ac:dyDescent="0.35">
      <c r="I462" s="90"/>
      <c r="J462" s="90"/>
    </row>
    <row r="463" spans="9:10" ht="15.75" customHeight="1" x14ac:dyDescent="0.35">
      <c r="I463" s="90"/>
      <c r="J463" s="90"/>
    </row>
    <row r="464" spans="9:10" ht="15.75" customHeight="1" x14ac:dyDescent="0.35">
      <c r="I464" s="90"/>
      <c r="J464" s="90"/>
    </row>
    <row r="465" spans="9:10" ht="15.75" customHeight="1" x14ac:dyDescent="0.35">
      <c r="I465" s="90"/>
      <c r="J465" s="90"/>
    </row>
    <row r="466" spans="9:10" ht="15.75" customHeight="1" x14ac:dyDescent="0.35">
      <c r="I466" s="90"/>
      <c r="J466" s="90"/>
    </row>
    <row r="467" spans="9:10" ht="15.75" customHeight="1" x14ac:dyDescent="0.35">
      <c r="I467" s="90"/>
      <c r="J467" s="90"/>
    </row>
    <row r="468" spans="9:10" ht="15.75" customHeight="1" x14ac:dyDescent="0.35">
      <c r="I468" s="90"/>
      <c r="J468" s="90"/>
    </row>
    <row r="469" spans="9:10" ht="15.75" customHeight="1" x14ac:dyDescent="0.35">
      <c r="I469" s="90"/>
      <c r="J469" s="90"/>
    </row>
    <row r="470" spans="9:10" ht="15.75" customHeight="1" x14ac:dyDescent="0.35">
      <c r="I470" s="90"/>
      <c r="J470" s="90"/>
    </row>
    <row r="471" spans="9:10" ht="15.75" customHeight="1" x14ac:dyDescent="0.35">
      <c r="I471" s="90"/>
      <c r="J471" s="90"/>
    </row>
    <row r="472" spans="9:10" ht="15.75" customHeight="1" x14ac:dyDescent="0.35">
      <c r="I472" s="90"/>
      <c r="J472" s="90"/>
    </row>
    <row r="473" spans="9:10" ht="15.75" customHeight="1" x14ac:dyDescent="0.35">
      <c r="I473" s="90"/>
      <c r="J473" s="90"/>
    </row>
    <row r="474" spans="9:10" ht="15.75" customHeight="1" x14ac:dyDescent="0.35">
      <c r="I474" s="90"/>
      <c r="J474" s="90"/>
    </row>
    <row r="475" spans="9:10" ht="15.75" customHeight="1" x14ac:dyDescent="0.35">
      <c r="I475" s="90"/>
      <c r="J475" s="90"/>
    </row>
    <row r="476" spans="9:10" ht="15.75" customHeight="1" x14ac:dyDescent="0.35">
      <c r="I476" s="90"/>
      <c r="J476" s="90"/>
    </row>
    <row r="477" spans="9:10" ht="15.75" customHeight="1" x14ac:dyDescent="0.35">
      <c r="I477" s="90"/>
      <c r="J477" s="90"/>
    </row>
    <row r="478" spans="9:10" ht="15.75" customHeight="1" x14ac:dyDescent="0.35">
      <c r="I478" s="90"/>
      <c r="J478" s="90"/>
    </row>
    <row r="479" spans="9:10" ht="15.75" customHeight="1" x14ac:dyDescent="0.35">
      <c r="I479" s="90"/>
      <c r="J479" s="90"/>
    </row>
    <row r="480" spans="9:10" ht="15.75" customHeight="1" x14ac:dyDescent="0.35">
      <c r="I480" s="90"/>
      <c r="J480" s="90"/>
    </row>
    <row r="481" spans="9:10" ht="15.75" customHeight="1" x14ac:dyDescent="0.35">
      <c r="I481" s="90"/>
      <c r="J481" s="90"/>
    </row>
    <row r="482" spans="9:10" ht="15.75" customHeight="1" x14ac:dyDescent="0.35">
      <c r="I482" s="90"/>
      <c r="J482" s="90"/>
    </row>
    <row r="483" spans="9:10" ht="15.75" customHeight="1" x14ac:dyDescent="0.35">
      <c r="I483" s="90"/>
      <c r="J483" s="90"/>
    </row>
    <row r="484" spans="9:10" ht="15.75" customHeight="1" x14ac:dyDescent="0.35">
      <c r="I484" s="90"/>
      <c r="J484" s="90"/>
    </row>
    <row r="485" spans="9:10" ht="15.75" customHeight="1" x14ac:dyDescent="0.35">
      <c r="I485" s="90"/>
      <c r="J485" s="90"/>
    </row>
    <row r="486" spans="9:10" ht="15.75" customHeight="1" x14ac:dyDescent="0.35">
      <c r="I486" s="90"/>
      <c r="J486" s="90"/>
    </row>
    <row r="487" spans="9:10" ht="15.75" customHeight="1" x14ac:dyDescent="0.35">
      <c r="I487" s="90"/>
      <c r="J487" s="90"/>
    </row>
    <row r="488" spans="9:10" ht="15.75" customHeight="1" x14ac:dyDescent="0.35">
      <c r="I488" s="90"/>
      <c r="J488" s="90"/>
    </row>
    <row r="489" spans="9:10" ht="15.75" customHeight="1" x14ac:dyDescent="0.35">
      <c r="I489" s="90"/>
      <c r="J489" s="90"/>
    </row>
    <row r="490" spans="9:10" ht="15.75" customHeight="1" x14ac:dyDescent="0.35">
      <c r="I490" s="90"/>
      <c r="J490" s="90"/>
    </row>
    <row r="491" spans="9:10" ht="15.75" customHeight="1" x14ac:dyDescent="0.35">
      <c r="I491" s="90"/>
      <c r="J491" s="90"/>
    </row>
    <row r="492" spans="9:10" ht="15.75" customHeight="1" x14ac:dyDescent="0.35">
      <c r="I492" s="90"/>
      <c r="J492" s="90"/>
    </row>
    <row r="493" spans="9:10" ht="15.75" customHeight="1" x14ac:dyDescent="0.35">
      <c r="I493" s="90"/>
      <c r="J493" s="90"/>
    </row>
    <row r="494" spans="9:10" ht="15.75" customHeight="1" x14ac:dyDescent="0.35">
      <c r="I494" s="90"/>
      <c r="J494" s="90"/>
    </row>
    <row r="495" spans="9:10" ht="15.75" customHeight="1" x14ac:dyDescent="0.35">
      <c r="I495" s="90"/>
      <c r="J495" s="90"/>
    </row>
    <row r="496" spans="9:10" ht="15.75" customHeight="1" x14ac:dyDescent="0.35">
      <c r="I496" s="90"/>
      <c r="J496" s="90"/>
    </row>
    <row r="497" spans="9:10" ht="15.75" customHeight="1" x14ac:dyDescent="0.35">
      <c r="I497" s="90"/>
      <c r="J497" s="90"/>
    </row>
    <row r="498" spans="9:10" ht="15.75" customHeight="1" x14ac:dyDescent="0.35">
      <c r="I498" s="90"/>
      <c r="J498" s="90"/>
    </row>
    <row r="499" spans="9:10" ht="15.75" customHeight="1" x14ac:dyDescent="0.35">
      <c r="I499" s="90"/>
      <c r="J499" s="90"/>
    </row>
    <row r="500" spans="9:10" ht="15.75" customHeight="1" x14ac:dyDescent="0.35">
      <c r="I500" s="90"/>
      <c r="J500" s="90"/>
    </row>
    <row r="501" spans="9:10" ht="15.75" customHeight="1" x14ac:dyDescent="0.35">
      <c r="I501" s="90"/>
      <c r="J501" s="90"/>
    </row>
    <row r="502" spans="9:10" ht="15.75" customHeight="1" x14ac:dyDescent="0.35">
      <c r="I502" s="90"/>
      <c r="J502" s="90"/>
    </row>
    <row r="503" spans="9:10" ht="15.75" customHeight="1" x14ac:dyDescent="0.35">
      <c r="I503" s="90"/>
      <c r="J503" s="90"/>
    </row>
    <row r="504" spans="9:10" ht="15.75" customHeight="1" x14ac:dyDescent="0.35">
      <c r="I504" s="90"/>
      <c r="J504" s="90"/>
    </row>
    <row r="505" spans="9:10" ht="15.75" customHeight="1" x14ac:dyDescent="0.35">
      <c r="I505" s="90"/>
      <c r="J505" s="90"/>
    </row>
    <row r="506" spans="9:10" ht="15.75" customHeight="1" x14ac:dyDescent="0.35">
      <c r="I506" s="90"/>
      <c r="J506" s="90"/>
    </row>
    <row r="507" spans="9:10" ht="15.75" customHeight="1" x14ac:dyDescent="0.35">
      <c r="I507" s="90"/>
      <c r="J507" s="90"/>
    </row>
    <row r="508" spans="9:10" ht="15.75" customHeight="1" x14ac:dyDescent="0.35">
      <c r="I508" s="90"/>
      <c r="J508" s="90"/>
    </row>
    <row r="509" spans="9:10" ht="15.75" customHeight="1" x14ac:dyDescent="0.35">
      <c r="I509" s="90"/>
      <c r="J509" s="90"/>
    </row>
    <row r="510" spans="9:10" ht="15.75" customHeight="1" x14ac:dyDescent="0.35">
      <c r="I510" s="90"/>
      <c r="J510" s="90"/>
    </row>
    <row r="511" spans="9:10" ht="15.75" customHeight="1" x14ac:dyDescent="0.35">
      <c r="I511" s="90"/>
      <c r="J511" s="90"/>
    </row>
    <row r="512" spans="9:10" ht="15.75" customHeight="1" x14ac:dyDescent="0.35">
      <c r="I512" s="90"/>
      <c r="J512" s="90"/>
    </row>
    <row r="513" spans="9:10" ht="15.75" customHeight="1" x14ac:dyDescent="0.35">
      <c r="I513" s="90"/>
      <c r="J513" s="90"/>
    </row>
    <row r="514" spans="9:10" ht="15.75" customHeight="1" x14ac:dyDescent="0.35">
      <c r="I514" s="90"/>
      <c r="J514" s="90"/>
    </row>
    <row r="515" spans="9:10" ht="15.75" customHeight="1" x14ac:dyDescent="0.35">
      <c r="I515" s="90"/>
      <c r="J515" s="90"/>
    </row>
    <row r="516" spans="9:10" ht="15.75" customHeight="1" x14ac:dyDescent="0.35">
      <c r="I516" s="90"/>
      <c r="J516" s="90"/>
    </row>
    <row r="517" spans="9:10" ht="15.75" customHeight="1" x14ac:dyDescent="0.35">
      <c r="I517" s="90"/>
      <c r="J517" s="90"/>
    </row>
    <row r="518" spans="9:10" ht="15.75" customHeight="1" x14ac:dyDescent="0.35">
      <c r="I518" s="90"/>
      <c r="J518" s="90"/>
    </row>
    <row r="519" spans="9:10" ht="15.75" customHeight="1" x14ac:dyDescent="0.35">
      <c r="I519" s="90"/>
      <c r="J519" s="90"/>
    </row>
    <row r="520" spans="9:10" ht="15.75" customHeight="1" x14ac:dyDescent="0.35">
      <c r="I520" s="90"/>
      <c r="J520" s="90"/>
    </row>
    <row r="521" spans="9:10" ht="15.75" customHeight="1" x14ac:dyDescent="0.35">
      <c r="I521" s="90"/>
      <c r="J521" s="90"/>
    </row>
    <row r="522" spans="9:10" ht="15.75" customHeight="1" x14ac:dyDescent="0.35">
      <c r="I522" s="90"/>
      <c r="J522" s="90"/>
    </row>
    <row r="523" spans="9:10" ht="15.75" customHeight="1" x14ac:dyDescent="0.35">
      <c r="I523" s="90"/>
      <c r="J523" s="90"/>
    </row>
    <row r="524" spans="9:10" ht="15.75" customHeight="1" x14ac:dyDescent="0.35">
      <c r="I524" s="90"/>
      <c r="J524" s="90"/>
    </row>
    <row r="525" spans="9:10" ht="15.75" customHeight="1" x14ac:dyDescent="0.35">
      <c r="I525" s="90"/>
      <c r="J525" s="90"/>
    </row>
    <row r="526" spans="9:10" ht="15.75" customHeight="1" x14ac:dyDescent="0.35">
      <c r="I526" s="90"/>
      <c r="J526" s="90"/>
    </row>
    <row r="527" spans="9:10" ht="15.75" customHeight="1" x14ac:dyDescent="0.35">
      <c r="I527" s="90"/>
      <c r="J527" s="90"/>
    </row>
    <row r="528" spans="9:10" ht="15.75" customHeight="1" x14ac:dyDescent="0.35">
      <c r="I528" s="90"/>
      <c r="J528" s="90"/>
    </row>
    <row r="529" spans="9:10" ht="15.75" customHeight="1" x14ac:dyDescent="0.35">
      <c r="I529" s="90"/>
      <c r="J529" s="90"/>
    </row>
    <row r="530" spans="9:10" ht="15.75" customHeight="1" x14ac:dyDescent="0.35">
      <c r="I530" s="90"/>
      <c r="J530" s="90"/>
    </row>
    <row r="531" spans="9:10" ht="15.75" customHeight="1" x14ac:dyDescent="0.35">
      <c r="I531" s="90"/>
      <c r="J531" s="90"/>
    </row>
    <row r="532" spans="9:10" ht="15.75" customHeight="1" x14ac:dyDescent="0.35">
      <c r="I532" s="90"/>
      <c r="J532" s="90"/>
    </row>
    <row r="533" spans="9:10" ht="15.75" customHeight="1" x14ac:dyDescent="0.35">
      <c r="I533" s="90"/>
      <c r="J533" s="90"/>
    </row>
    <row r="534" spans="9:10" ht="15.75" customHeight="1" x14ac:dyDescent="0.35">
      <c r="I534" s="90"/>
      <c r="J534" s="90"/>
    </row>
    <row r="535" spans="9:10" ht="15.75" customHeight="1" x14ac:dyDescent="0.35">
      <c r="I535" s="90"/>
      <c r="J535" s="90"/>
    </row>
    <row r="536" spans="9:10" ht="15.75" customHeight="1" x14ac:dyDescent="0.35">
      <c r="I536" s="90"/>
      <c r="J536" s="90"/>
    </row>
    <row r="537" spans="9:10" ht="15.75" customHeight="1" x14ac:dyDescent="0.35">
      <c r="I537" s="90"/>
      <c r="J537" s="90"/>
    </row>
    <row r="538" spans="9:10" ht="15.75" customHeight="1" x14ac:dyDescent="0.35">
      <c r="I538" s="90"/>
      <c r="J538" s="90"/>
    </row>
    <row r="539" spans="9:10" ht="15.75" customHeight="1" x14ac:dyDescent="0.35">
      <c r="I539" s="90"/>
      <c r="J539" s="90"/>
    </row>
    <row r="540" spans="9:10" ht="15.75" customHeight="1" x14ac:dyDescent="0.35">
      <c r="I540" s="90"/>
      <c r="J540" s="90"/>
    </row>
    <row r="541" spans="9:10" ht="15.75" customHeight="1" x14ac:dyDescent="0.35">
      <c r="I541" s="90"/>
      <c r="J541" s="90"/>
    </row>
    <row r="542" spans="9:10" ht="15.75" customHeight="1" x14ac:dyDescent="0.35">
      <c r="I542" s="90"/>
      <c r="J542" s="90"/>
    </row>
    <row r="543" spans="9:10" ht="15.75" customHeight="1" x14ac:dyDescent="0.35">
      <c r="I543" s="90"/>
      <c r="J543" s="90"/>
    </row>
    <row r="544" spans="9:10" ht="15.75" customHeight="1" x14ac:dyDescent="0.35">
      <c r="I544" s="90"/>
      <c r="J544" s="90"/>
    </row>
    <row r="545" spans="9:10" ht="15.75" customHeight="1" x14ac:dyDescent="0.35">
      <c r="I545" s="90"/>
      <c r="J545" s="90"/>
    </row>
    <row r="546" spans="9:10" ht="15.75" customHeight="1" x14ac:dyDescent="0.35">
      <c r="I546" s="90"/>
      <c r="J546" s="90"/>
    </row>
    <row r="547" spans="9:10" ht="15.75" customHeight="1" x14ac:dyDescent="0.35">
      <c r="I547" s="90"/>
      <c r="J547" s="90"/>
    </row>
    <row r="548" spans="9:10" ht="15.75" customHeight="1" x14ac:dyDescent="0.35">
      <c r="I548" s="90"/>
      <c r="J548" s="90"/>
    </row>
    <row r="549" spans="9:10" ht="15.75" customHeight="1" x14ac:dyDescent="0.35">
      <c r="I549" s="90"/>
      <c r="J549" s="90"/>
    </row>
    <row r="550" spans="9:10" ht="15.75" customHeight="1" x14ac:dyDescent="0.35">
      <c r="I550" s="90"/>
      <c r="J550" s="90"/>
    </row>
    <row r="551" spans="9:10" ht="15.75" customHeight="1" x14ac:dyDescent="0.35">
      <c r="I551" s="90"/>
      <c r="J551" s="90"/>
    </row>
    <row r="552" spans="9:10" ht="15.75" customHeight="1" x14ac:dyDescent="0.35">
      <c r="I552" s="90"/>
      <c r="J552" s="90"/>
    </row>
    <row r="553" spans="9:10" ht="15.75" customHeight="1" x14ac:dyDescent="0.35">
      <c r="I553" s="90"/>
      <c r="J553" s="90"/>
    </row>
    <row r="554" spans="9:10" ht="15.75" customHeight="1" x14ac:dyDescent="0.35">
      <c r="I554" s="90"/>
      <c r="J554" s="90"/>
    </row>
    <row r="555" spans="9:10" ht="15.75" customHeight="1" x14ac:dyDescent="0.35">
      <c r="I555" s="90"/>
      <c r="J555" s="90"/>
    </row>
    <row r="556" spans="9:10" ht="15.75" customHeight="1" x14ac:dyDescent="0.35">
      <c r="I556" s="90"/>
      <c r="J556" s="90"/>
    </row>
    <row r="557" spans="9:10" ht="15.75" customHeight="1" x14ac:dyDescent="0.35">
      <c r="I557" s="90"/>
      <c r="J557" s="90"/>
    </row>
    <row r="558" spans="9:10" ht="15.75" customHeight="1" x14ac:dyDescent="0.35">
      <c r="I558" s="90"/>
      <c r="J558" s="90"/>
    </row>
    <row r="559" spans="9:10" ht="15.75" customHeight="1" x14ac:dyDescent="0.35">
      <c r="I559" s="90"/>
      <c r="J559" s="90"/>
    </row>
    <row r="560" spans="9:10" ht="15.75" customHeight="1" x14ac:dyDescent="0.35">
      <c r="I560" s="90"/>
      <c r="J560" s="90"/>
    </row>
    <row r="561" spans="9:10" ht="15.75" customHeight="1" x14ac:dyDescent="0.35">
      <c r="I561" s="90"/>
      <c r="J561" s="90"/>
    </row>
    <row r="562" spans="9:10" ht="15.75" customHeight="1" x14ac:dyDescent="0.35">
      <c r="I562" s="90"/>
      <c r="J562" s="90"/>
    </row>
    <row r="563" spans="9:10" ht="15.75" customHeight="1" x14ac:dyDescent="0.35">
      <c r="I563" s="90"/>
      <c r="J563" s="90"/>
    </row>
    <row r="564" spans="9:10" ht="15.75" customHeight="1" x14ac:dyDescent="0.35">
      <c r="I564" s="90"/>
      <c r="J564" s="90"/>
    </row>
    <row r="565" spans="9:10" ht="15.75" customHeight="1" x14ac:dyDescent="0.35">
      <c r="I565" s="90"/>
      <c r="J565" s="90"/>
    </row>
    <row r="566" spans="9:10" ht="15.75" customHeight="1" x14ac:dyDescent="0.35">
      <c r="I566" s="90"/>
      <c r="J566" s="90"/>
    </row>
    <row r="567" spans="9:10" ht="15.75" customHeight="1" x14ac:dyDescent="0.35">
      <c r="I567" s="90"/>
      <c r="J567" s="90"/>
    </row>
    <row r="568" spans="9:10" ht="15.75" customHeight="1" x14ac:dyDescent="0.35">
      <c r="I568" s="90"/>
      <c r="J568" s="90"/>
    </row>
    <row r="569" spans="9:10" ht="15.75" customHeight="1" x14ac:dyDescent="0.35">
      <c r="I569" s="90"/>
      <c r="J569" s="90"/>
    </row>
    <row r="570" spans="9:10" ht="15.75" customHeight="1" x14ac:dyDescent="0.35">
      <c r="I570" s="90"/>
      <c r="J570" s="90"/>
    </row>
    <row r="571" spans="9:10" ht="15.75" customHeight="1" x14ac:dyDescent="0.35">
      <c r="I571" s="90"/>
      <c r="J571" s="90"/>
    </row>
    <row r="572" spans="9:10" ht="15.75" customHeight="1" x14ac:dyDescent="0.35">
      <c r="I572" s="90"/>
      <c r="J572" s="90"/>
    </row>
    <row r="573" spans="9:10" ht="15.75" customHeight="1" x14ac:dyDescent="0.35">
      <c r="I573" s="90"/>
      <c r="J573" s="90"/>
    </row>
    <row r="574" spans="9:10" ht="15.75" customHeight="1" x14ac:dyDescent="0.35">
      <c r="I574" s="90"/>
      <c r="J574" s="90"/>
    </row>
    <row r="575" spans="9:10" ht="15.75" customHeight="1" x14ac:dyDescent="0.35">
      <c r="I575" s="90"/>
      <c r="J575" s="90"/>
    </row>
    <row r="576" spans="9:10" ht="15.75" customHeight="1" x14ac:dyDescent="0.35">
      <c r="I576" s="90"/>
      <c r="J576" s="90"/>
    </row>
    <row r="577" spans="9:10" ht="15.75" customHeight="1" x14ac:dyDescent="0.35">
      <c r="I577" s="90"/>
      <c r="J577" s="90"/>
    </row>
    <row r="578" spans="9:10" ht="15.75" customHeight="1" x14ac:dyDescent="0.35">
      <c r="I578" s="90"/>
      <c r="J578" s="90"/>
    </row>
    <row r="579" spans="9:10" ht="15.75" customHeight="1" x14ac:dyDescent="0.35">
      <c r="I579" s="90"/>
      <c r="J579" s="90"/>
    </row>
    <row r="580" spans="9:10" ht="15.75" customHeight="1" x14ac:dyDescent="0.35">
      <c r="I580" s="90"/>
      <c r="J580" s="90"/>
    </row>
    <row r="581" spans="9:10" ht="15.75" customHeight="1" x14ac:dyDescent="0.35">
      <c r="I581" s="90"/>
      <c r="J581" s="90"/>
    </row>
    <row r="582" spans="9:10" ht="15.75" customHeight="1" x14ac:dyDescent="0.35">
      <c r="I582" s="90"/>
      <c r="J582" s="90"/>
    </row>
    <row r="583" spans="9:10" ht="15.75" customHeight="1" x14ac:dyDescent="0.35">
      <c r="I583" s="90"/>
      <c r="J583" s="90"/>
    </row>
    <row r="584" spans="9:10" ht="15.75" customHeight="1" x14ac:dyDescent="0.35">
      <c r="I584" s="90"/>
      <c r="J584" s="90"/>
    </row>
    <row r="585" spans="9:10" ht="15.75" customHeight="1" x14ac:dyDescent="0.35">
      <c r="I585" s="90"/>
      <c r="J585" s="90"/>
    </row>
    <row r="586" spans="9:10" ht="15.75" customHeight="1" x14ac:dyDescent="0.35">
      <c r="I586" s="90"/>
      <c r="J586" s="90"/>
    </row>
    <row r="587" spans="9:10" ht="15.75" customHeight="1" x14ac:dyDescent="0.35">
      <c r="I587" s="90"/>
      <c r="J587" s="90"/>
    </row>
    <row r="588" spans="9:10" ht="15.75" customHeight="1" x14ac:dyDescent="0.35">
      <c r="I588" s="90"/>
      <c r="J588" s="90"/>
    </row>
    <row r="589" spans="9:10" ht="15.75" customHeight="1" x14ac:dyDescent="0.35">
      <c r="I589" s="90"/>
      <c r="J589" s="90"/>
    </row>
    <row r="590" spans="9:10" ht="15.75" customHeight="1" x14ac:dyDescent="0.35">
      <c r="I590" s="90"/>
      <c r="J590" s="90"/>
    </row>
    <row r="591" spans="9:10" ht="15.75" customHeight="1" x14ac:dyDescent="0.35">
      <c r="I591" s="90"/>
      <c r="J591" s="90"/>
    </row>
    <row r="592" spans="9:10" ht="15.75" customHeight="1" x14ac:dyDescent="0.35">
      <c r="I592" s="90"/>
      <c r="J592" s="90"/>
    </row>
    <row r="593" spans="9:10" ht="15.75" customHeight="1" x14ac:dyDescent="0.35">
      <c r="I593" s="90"/>
      <c r="J593" s="90"/>
    </row>
    <row r="594" spans="9:10" ht="15.75" customHeight="1" x14ac:dyDescent="0.35">
      <c r="I594" s="90"/>
      <c r="J594" s="90"/>
    </row>
    <row r="595" spans="9:10" ht="15.75" customHeight="1" x14ac:dyDescent="0.35">
      <c r="I595" s="90"/>
      <c r="J595" s="90"/>
    </row>
    <row r="596" spans="9:10" ht="15.75" customHeight="1" x14ac:dyDescent="0.35">
      <c r="I596" s="90"/>
      <c r="J596" s="90"/>
    </row>
    <row r="597" spans="9:10" ht="15.75" customHeight="1" x14ac:dyDescent="0.35">
      <c r="I597" s="90"/>
      <c r="J597" s="90"/>
    </row>
    <row r="598" spans="9:10" ht="15.75" customHeight="1" x14ac:dyDescent="0.35">
      <c r="I598" s="90"/>
      <c r="J598" s="90"/>
    </row>
    <row r="599" spans="9:10" ht="15.75" customHeight="1" x14ac:dyDescent="0.35">
      <c r="I599" s="90"/>
      <c r="J599" s="90"/>
    </row>
    <row r="600" spans="9:10" ht="15.75" customHeight="1" x14ac:dyDescent="0.35">
      <c r="I600" s="90"/>
      <c r="J600" s="90"/>
    </row>
    <row r="601" spans="9:10" ht="15.75" customHeight="1" x14ac:dyDescent="0.35">
      <c r="I601" s="90"/>
      <c r="J601" s="90"/>
    </row>
    <row r="602" spans="9:10" ht="15.75" customHeight="1" x14ac:dyDescent="0.35">
      <c r="I602" s="90"/>
      <c r="J602" s="90"/>
    </row>
    <row r="603" spans="9:10" ht="15.75" customHeight="1" x14ac:dyDescent="0.35">
      <c r="I603" s="90"/>
      <c r="J603" s="90"/>
    </row>
    <row r="604" spans="9:10" ht="15.75" customHeight="1" x14ac:dyDescent="0.35">
      <c r="I604" s="90"/>
      <c r="J604" s="90"/>
    </row>
    <row r="605" spans="9:10" ht="15.75" customHeight="1" x14ac:dyDescent="0.35">
      <c r="I605" s="90"/>
      <c r="J605" s="90"/>
    </row>
    <row r="606" spans="9:10" ht="15.75" customHeight="1" x14ac:dyDescent="0.35">
      <c r="I606" s="90"/>
      <c r="J606" s="90"/>
    </row>
    <row r="607" spans="9:10" ht="15.75" customHeight="1" x14ac:dyDescent="0.35">
      <c r="I607" s="90"/>
      <c r="J607" s="90"/>
    </row>
    <row r="608" spans="9:10" ht="15.75" customHeight="1" x14ac:dyDescent="0.35">
      <c r="I608" s="90"/>
      <c r="J608" s="90"/>
    </row>
    <row r="609" spans="9:10" ht="15.75" customHeight="1" x14ac:dyDescent="0.35">
      <c r="I609" s="90"/>
      <c r="J609" s="90"/>
    </row>
    <row r="610" spans="9:10" ht="15.75" customHeight="1" x14ac:dyDescent="0.35">
      <c r="I610" s="90"/>
      <c r="J610" s="90"/>
    </row>
    <row r="611" spans="9:10" ht="15.75" customHeight="1" x14ac:dyDescent="0.35">
      <c r="I611" s="90"/>
      <c r="J611" s="90"/>
    </row>
    <row r="612" spans="9:10" ht="15.75" customHeight="1" x14ac:dyDescent="0.35">
      <c r="I612" s="90"/>
      <c r="J612" s="90"/>
    </row>
    <row r="613" spans="9:10" ht="15.75" customHeight="1" x14ac:dyDescent="0.35">
      <c r="I613" s="90"/>
      <c r="J613" s="90"/>
    </row>
    <row r="614" spans="9:10" ht="15.75" customHeight="1" x14ac:dyDescent="0.35">
      <c r="I614" s="90"/>
      <c r="J614" s="90"/>
    </row>
    <row r="615" spans="9:10" ht="15.75" customHeight="1" x14ac:dyDescent="0.35">
      <c r="I615" s="90"/>
      <c r="J615" s="90"/>
    </row>
    <row r="616" spans="9:10" ht="15.75" customHeight="1" x14ac:dyDescent="0.35">
      <c r="I616" s="90"/>
      <c r="J616" s="90"/>
    </row>
    <row r="617" spans="9:10" ht="15.75" customHeight="1" x14ac:dyDescent="0.35">
      <c r="I617" s="90"/>
      <c r="J617" s="90"/>
    </row>
    <row r="618" spans="9:10" ht="15.75" customHeight="1" x14ac:dyDescent="0.35">
      <c r="I618" s="90"/>
      <c r="J618" s="90"/>
    </row>
    <row r="619" spans="9:10" ht="15.75" customHeight="1" x14ac:dyDescent="0.35">
      <c r="I619" s="90"/>
      <c r="J619" s="90"/>
    </row>
    <row r="620" spans="9:10" ht="15.75" customHeight="1" x14ac:dyDescent="0.35">
      <c r="I620" s="90"/>
      <c r="J620" s="90"/>
    </row>
    <row r="621" spans="9:10" ht="15.75" customHeight="1" x14ac:dyDescent="0.35">
      <c r="I621" s="90"/>
      <c r="J621" s="90"/>
    </row>
    <row r="622" spans="9:10" ht="15.75" customHeight="1" x14ac:dyDescent="0.35">
      <c r="I622" s="90"/>
      <c r="J622" s="90"/>
    </row>
    <row r="623" spans="9:10" ht="15.75" customHeight="1" x14ac:dyDescent="0.35">
      <c r="I623" s="90"/>
      <c r="J623" s="90"/>
    </row>
    <row r="624" spans="9:10" ht="15.75" customHeight="1" x14ac:dyDescent="0.35">
      <c r="I624" s="90"/>
      <c r="J624" s="90"/>
    </row>
    <row r="625" spans="9:10" ht="15.75" customHeight="1" x14ac:dyDescent="0.35">
      <c r="I625" s="90"/>
      <c r="J625" s="90"/>
    </row>
    <row r="626" spans="9:10" ht="15.75" customHeight="1" x14ac:dyDescent="0.35">
      <c r="I626" s="90"/>
      <c r="J626" s="90"/>
    </row>
    <row r="627" spans="9:10" ht="15.75" customHeight="1" x14ac:dyDescent="0.35">
      <c r="I627" s="90"/>
      <c r="J627" s="90"/>
    </row>
    <row r="628" spans="9:10" ht="15.75" customHeight="1" x14ac:dyDescent="0.35">
      <c r="I628" s="90"/>
      <c r="J628" s="90"/>
    </row>
    <row r="629" spans="9:10" ht="15.75" customHeight="1" x14ac:dyDescent="0.35">
      <c r="I629" s="90"/>
      <c r="J629" s="90"/>
    </row>
    <row r="630" spans="9:10" ht="15.75" customHeight="1" x14ac:dyDescent="0.35">
      <c r="I630" s="90"/>
      <c r="J630" s="90"/>
    </row>
    <row r="631" spans="9:10" ht="15.75" customHeight="1" x14ac:dyDescent="0.35">
      <c r="I631" s="90"/>
      <c r="J631" s="90"/>
    </row>
    <row r="632" spans="9:10" ht="15.75" customHeight="1" x14ac:dyDescent="0.35">
      <c r="I632" s="90"/>
      <c r="J632" s="90"/>
    </row>
    <row r="633" spans="9:10" ht="15.75" customHeight="1" x14ac:dyDescent="0.35">
      <c r="I633" s="90"/>
      <c r="J633" s="90"/>
    </row>
    <row r="634" spans="9:10" ht="15.75" customHeight="1" x14ac:dyDescent="0.35">
      <c r="I634" s="90"/>
      <c r="J634" s="90"/>
    </row>
    <row r="635" spans="9:10" ht="15.75" customHeight="1" x14ac:dyDescent="0.35">
      <c r="I635" s="90"/>
      <c r="J635" s="90"/>
    </row>
    <row r="636" spans="9:10" ht="15.75" customHeight="1" x14ac:dyDescent="0.35">
      <c r="I636" s="90"/>
      <c r="J636" s="90"/>
    </row>
    <row r="637" spans="9:10" ht="15.75" customHeight="1" x14ac:dyDescent="0.35">
      <c r="I637" s="90"/>
      <c r="J637" s="90"/>
    </row>
    <row r="638" spans="9:10" ht="15.75" customHeight="1" x14ac:dyDescent="0.35">
      <c r="I638" s="90"/>
      <c r="J638" s="90"/>
    </row>
    <row r="639" spans="9:10" ht="15.75" customHeight="1" x14ac:dyDescent="0.35">
      <c r="I639" s="90"/>
      <c r="J639" s="90"/>
    </row>
    <row r="640" spans="9:10" ht="15.75" customHeight="1" x14ac:dyDescent="0.35">
      <c r="I640" s="90"/>
      <c r="J640" s="90"/>
    </row>
    <row r="641" spans="9:10" ht="15.75" customHeight="1" x14ac:dyDescent="0.35">
      <c r="I641" s="90"/>
      <c r="J641" s="90"/>
    </row>
    <row r="642" spans="9:10" ht="15.75" customHeight="1" x14ac:dyDescent="0.35">
      <c r="I642" s="90"/>
      <c r="J642" s="90"/>
    </row>
    <row r="643" spans="9:10" ht="15.75" customHeight="1" x14ac:dyDescent="0.35">
      <c r="I643" s="90"/>
      <c r="J643" s="90"/>
    </row>
    <row r="644" spans="9:10" ht="15.75" customHeight="1" x14ac:dyDescent="0.35">
      <c r="I644" s="90"/>
      <c r="J644" s="90"/>
    </row>
    <row r="645" spans="9:10" ht="15.75" customHeight="1" x14ac:dyDescent="0.35">
      <c r="I645" s="90"/>
      <c r="J645" s="90"/>
    </row>
    <row r="646" spans="9:10" ht="15.75" customHeight="1" x14ac:dyDescent="0.35">
      <c r="I646" s="90"/>
      <c r="J646" s="90"/>
    </row>
    <row r="647" spans="9:10" ht="15.75" customHeight="1" x14ac:dyDescent="0.35">
      <c r="I647" s="90"/>
      <c r="J647" s="90"/>
    </row>
    <row r="648" spans="9:10" ht="15.75" customHeight="1" x14ac:dyDescent="0.35">
      <c r="I648" s="90"/>
      <c r="J648" s="90"/>
    </row>
    <row r="649" spans="9:10" ht="15.75" customHeight="1" x14ac:dyDescent="0.35">
      <c r="I649" s="90"/>
      <c r="J649" s="90"/>
    </row>
    <row r="650" spans="9:10" ht="15.75" customHeight="1" x14ac:dyDescent="0.35">
      <c r="I650" s="90"/>
      <c r="J650" s="90"/>
    </row>
    <row r="651" spans="9:10" ht="15.75" customHeight="1" x14ac:dyDescent="0.35">
      <c r="I651" s="90"/>
      <c r="J651" s="90"/>
    </row>
    <row r="652" spans="9:10" ht="15.75" customHeight="1" x14ac:dyDescent="0.35">
      <c r="I652" s="90"/>
      <c r="J652" s="90"/>
    </row>
    <row r="653" spans="9:10" ht="15.75" customHeight="1" x14ac:dyDescent="0.35">
      <c r="I653" s="90"/>
      <c r="J653" s="90"/>
    </row>
    <row r="654" spans="9:10" ht="15.75" customHeight="1" x14ac:dyDescent="0.35">
      <c r="I654" s="90"/>
      <c r="J654" s="90"/>
    </row>
    <row r="655" spans="9:10" ht="15.75" customHeight="1" x14ac:dyDescent="0.35">
      <c r="I655" s="90"/>
      <c r="J655" s="90"/>
    </row>
    <row r="656" spans="9:10" ht="15.75" customHeight="1" x14ac:dyDescent="0.35">
      <c r="I656" s="90"/>
      <c r="J656" s="90"/>
    </row>
    <row r="657" spans="9:10" ht="15.75" customHeight="1" x14ac:dyDescent="0.35">
      <c r="I657" s="90"/>
      <c r="J657" s="90"/>
    </row>
    <row r="658" spans="9:10" ht="15.75" customHeight="1" x14ac:dyDescent="0.35">
      <c r="I658" s="90"/>
      <c r="J658" s="90"/>
    </row>
    <row r="659" spans="9:10" ht="15.75" customHeight="1" x14ac:dyDescent="0.35">
      <c r="I659" s="90"/>
      <c r="J659" s="90"/>
    </row>
    <row r="660" spans="9:10" ht="15.75" customHeight="1" x14ac:dyDescent="0.35">
      <c r="I660" s="90"/>
      <c r="J660" s="90"/>
    </row>
    <row r="661" spans="9:10" ht="15.75" customHeight="1" x14ac:dyDescent="0.35">
      <c r="I661" s="90"/>
      <c r="J661" s="90"/>
    </row>
    <row r="662" spans="9:10" ht="15.75" customHeight="1" x14ac:dyDescent="0.35">
      <c r="I662" s="90"/>
      <c r="J662" s="90"/>
    </row>
    <row r="663" spans="9:10" ht="15.75" customHeight="1" x14ac:dyDescent="0.35">
      <c r="I663" s="90"/>
      <c r="J663" s="90"/>
    </row>
    <row r="664" spans="9:10" ht="15.75" customHeight="1" x14ac:dyDescent="0.35">
      <c r="I664" s="90"/>
      <c r="J664" s="90"/>
    </row>
    <row r="665" spans="9:10" ht="15.75" customHeight="1" x14ac:dyDescent="0.35">
      <c r="I665" s="90"/>
      <c r="J665" s="90"/>
    </row>
    <row r="666" spans="9:10" ht="15.75" customHeight="1" x14ac:dyDescent="0.35">
      <c r="I666" s="90"/>
      <c r="J666" s="90"/>
    </row>
    <row r="667" spans="9:10" ht="15.75" customHeight="1" x14ac:dyDescent="0.35">
      <c r="I667" s="90"/>
      <c r="J667" s="90"/>
    </row>
    <row r="668" spans="9:10" ht="15.75" customHeight="1" x14ac:dyDescent="0.35">
      <c r="I668" s="90"/>
      <c r="J668" s="90"/>
    </row>
    <row r="669" spans="9:10" ht="15.75" customHeight="1" x14ac:dyDescent="0.35">
      <c r="I669" s="90"/>
      <c r="J669" s="90"/>
    </row>
    <row r="670" spans="9:10" ht="15.75" customHeight="1" x14ac:dyDescent="0.35">
      <c r="I670" s="90"/>
      <c r="J670" s="90"/>
    </row>
    <row r="671" spans="9:10" ht="15.75" customHeight="1" x14ac:dyDescent="0.35">
      <c r="I671" s="90"/>
      <c r="J671" s="90"/>
    </row>
    <row r="672" spans="9:10" ht="15.75" customHeight="1" x14ac:dyDescent="0.35">
      <c r="I672" s="90"/>
      <c r="J672" s="90"/>
    </row>
    <row r="673" spans="9:10" ht="15.75" customHeight="1" x14ac:dyDescent="0.35">
      <c r="I673" s="90"/>
      <c r="J673" s="90"/>
    </row>
    <row r="674" spans="9:10" ht="15.75" customHeight="1" x14ac:dyDescent="0.35">
      <c r="I674" s="90"/>
      <c r="J674" s="90"/>
    </row>
    <row r="675" spans="9:10" ht="15.75" customHeight="1" x14ac:dyDescent="0.35">
      <c r="I675" s="90"/>
      <c r="J675" s="90"/>
    </row>
    <row r="676" spans="9:10" ht="15.75" customHeight="1" x14ac:dyDescent="0.35">
      <c r="I676" s="90"/>
      <c r="J676" s="90"/>
    </row>
    <row r="677" spans="9:10" ht="15.75" customHeight="1" x14ac:dyDescent="0.35">
      <c r="I677" s="90"/>
      <c r="J677" s="90"/>
    </row>
    <row r="678" spans="9:10" ht="15.75" customHeight="1" x14ac:dyDescent="0.35">
      <c r="I678" s="90"/>
      <c r="J678" s="90"/>
    </row>
    <row r="679" spans="9:10" ht="15.75" customHeight="1" x14ac:dyDescent="0.35">
      <c r="I679" s="90"/>
      <c r="J679" s="90"/>
    </row>
    <row r="680" spans="9:10" ht="15.75" customHeight="1" x14ac:dyDescent="0.35">
      <c r="I680" s="90"/>
      <c r="J680" s="90"/>
    </row>
    <row r="681" spans="9:10" ht="15.75" customHeight="1" x14ac:dyDescent="0.35">
      <c r="I681" s="90"/>
      <c r="J681" s="90"/>
    </row>
    <row r="682" spans="9:10" ht="15.75" customHeight="1" x14ac:dyDescent="0.35">
      <c r="I682" s="90"/>
      <c r="J682" s="90"/>
    </row>
    <row r="683" spans="9:10" ht="15.75" customHeight="1" x14ac:dyDescent="0.35">
      <c r="I683" s="90"/>
      <c r="J683" s="90"/>
    </row>
    <row r="684" spans="9:10" ht="15.75" customHeight="1" x14ac:dyDescent="0.35">
      <c r="I684" s="90"/>
      <c r="J684" s="90"/>
    </row>
    <row r="685" spans="9:10" ht="15.75" customHeight="1" x14ac:dyDescent="0.35">
      <c r="I685" s="90"/>
      <c r="J685" s="90"/>
    </row>
    <row r="686" spans="9:10" ht="15.75" customHeight="1" x14ac:dyDescent="0.35">
      <c r="I686" s="90"/>
      <c r="J686" s="90"/>
    </row>
    <row r="687" spans="9:10" ht="15.75" customHeight="1" x14ac:dyDescent="0.35">
      <c r="I687" s="90"/>
      <c r="J687" s="90"/>
    </row>
    <row r="688" spans="9:10" ht="15.75" customHeight="1" x14ac:dyDescent="0.35">
      <c r="I688" s="90"/>
      <c r="J688" s="90"/>
    </row>
    <row r="689" spans="9:10" ht="15.75" customHeight="1" x14ac:dyDescent="0.35">
      <c r="I689" s="90"/>
      <c r="J689" s="90"/>
    </row>
    <row r="690" spans="9:10" ht="15.75" customHeight="1" x14ac:dyDescent="0.35">
      <c r="I690" s="90"/>
      <c r="J690" s="90"/>
    </row>
    <row r="691" spans="9:10" ht="15.75" customHeight="1" x14ac:dyDescent="0.35">
      <c r="I691" s="90"/>
      <c r="J691" s="90"/>
    </row>
    <row r="692" spans="9:10" ht="15.75" customHeight="1" x14ac:dyDescent="0.35">
      <c r="I692" s="90"/>
      <c r="J692" s="90"/>
    </row>
    <row r="693" spans="9:10" ht="15.75" customHeight="1" x14ac:dyDescent="0.35">
      <c r="I693" s="90"/>
      <c r="J693" s="90"/>
    </row>
    <row r="694" spans="9:10" ht="15.75" customHeight="1" x14ac:dyDescent="0.35">
      <c r="I694" s="90"/>
      <c r="J694" s="90"/>
    </row>
    <row r="695" spans="9:10" ht="15.75" customHeight="1" x14ac:dyDescent="0.35">
      <c r="I695" s="90"/>
      <c r="J695" s="90"/>
    </row>
    <row r="696" spans="9:10" ht="15.75" customHeight="1" x14ac:dyDescent="0.35">
      <c r="I696" s="90"/>
      <c r="J696" s="90"/>
    </row>
    <row r="697" spans="9:10" ht="15.75" customHeight="1" x14ac:dyDescent="0.35">
      <c r="I697" s="90"/>
      <c r="J697" s="90"/>
    </row>
    <row r="698" spans="9:10" ht="15.75" customHeight="1" x14ac:dyDescent="0.35">
      <c r="I698" s="90"/>
      <c r="J698" s="90"/>
    </row>
    <row r="699" spans="9:10" ht="15.75" customHeight="1" x14ac:dyDescent="0.35">
      <c r="I699" s="90"/>
      <c r="J699" s="90"/>
    </row>
    <row r="700" spans="9:10" ht="15.75" customHeight="1" x14ac:dyDescent="0.35">
      <c r="I700" s="90"/>
      <c r="J700" s="90"/>
    </row>
    <row r="701" spans="9:10" ht="15.75" customHeight="1" x14ac:dyDescent="0.35">
      <c r="I701" s="90"/>
      <c r="J701" s="90"/>
    </row>
    <row r="702" spans="9:10" ht="15.75" customHeight="1" x14ac:dyDescent="0.35">
      <c r="I702" s="90"/>
      <c r="J702" s="90"/>
    </row>
    <row r="703" spans="9:10" ht="15.75" customHeight="1" x14ac:dyDescent="0.35">
      <c r="I703" s="90"/>
      <c r="J703" s="90"/>
    </row>
    <row r="704" spans="9:10" ht="15.75" customHeight="1" x14ac:dyDescent="0.35">
      <c r="I704" s="90"/>
      <c r="J704" s="90"/>
    </row>
    <row r="705" spans="9:10" ht="15.75" customHeight="1" x14ac:dyDescent="0.35">
      <c r="I705" s="90"/>
      <c r="J705" s="90"/>
    </row>
    <row r="706" spans="9:10" ht="15.75" customHeight="1" x14ac:dyDescent="0.35">
      <c r="I706" s="90"/>
      <c r="J706" s="90"/>
    </row>
    <row r="707" spans="9:10" ht="15.75" customHeight="1" x14ac:dyDescent="0.35">
      <c r="I707" s="90"/>
      <c r="J707" s="90"/>
    </row>
    <row r="708" spans="9:10" ht="15.75" customHeight="1" x14ac:dyDescent="0.35">
      <c r="I708" s="90"/>
      <c r="J708" s="90"/>
    </row>
    <row r="709" spans="9:10" ht="15.75" customHeight="1" x14ac:dyDescent="0.35">
      <c r="I709" s="90"/>
      <c r="J709" s="90"/>
    </row>
    <row r="710" spans="9:10" ht="15.75" customHeight="1" x14ac:dyDescent="0.35">
      <c r="I710" s="90"/>
      <c r="J710" s="90"/>
    </row>
    <row r="711" spans="9:10" ht="15.75" customHeight="1" x14ac:dyDescent="0.35">
      <c r="I711" s="90"/>
      <c r="J711" s="90"/>
    </row>
    <row r="712" spans="9:10" ht="15.75" customHeight="1" x14ac:dyDescent="0.35">
      <c r="I712" s="90"/>
      <c r="J712" s="90"/>
    </row>
    <row r="713" spans="9:10" ht="15.75" customHeight="1" x14ac:dyDescent="0.35">
      <c r="I713" s="90"/>
      <c r="J713" s="90"/>
    </row>
    <row r="714" spans="9:10" ht="15.75" customHeight="1" x14ac:dyDescent="0.35">
      <c r="I714" s="90"/>
      <c r="J714" s="90"/>
    </row>
    <row r="715" spans="9:10" ht="15.75" customHeight="1" x14ac:dyDescent="0.35">
      <c r="I715" s="90"/>
      <c r="J715" s="90"/>
    </row>
    <row r="716" spans="9:10" ht="15.75" customHeight="1" x14ac:dyDescent="0.35">
      <c r="I716" s="90"/>
      <c r="J716" s="90"/>
    </row>
    <row r="717" spans="9:10" ht="15.75" customHeight="1" x14ac:dyDescent="0.35">
      <c r="I717" s="90"/>
      <c r="J717" s="90"/>
    </row>
    <row r="718" spans="9:10" ht="15.75" customHeight="1" x14ac:dyDescent="0.35">
      <c r="I718" s="90"/>
      <c r="J718" s="90"/>
    </row>
    <row r="719" spans="9:10" ht="15.75" customHeight="1" x14ac:dyDescent="0.35">
      <c r="I719" s="90"/>
      <c r="J719" s="90"/>
    </row>
    <row r="720" spans="9:10" ht="15.75" customHeight="1" x14ac:dyDescent="0.35">
      <c r="I720" s="90"/>
      <c r="J720" s="90"/>
    </row>
    <row r="721" spans="9:10" ht="15.75" customHeight="1" x14ac:dyDescent="0.35">
      <c r="I721" s="90"/>
      <c r="J721" s="90"/>
    </row>
    <row r="722" spans="9:10" ht="15.75" customHeight="1" x14ac:dyDescent="0.35">
      <c r="I722" s="90"/>
      <c r="J722" s="90"/>
    </row>
    <row r="723" spans="9:10" ht="15.75" customHeight="1" x14ac:dyDescent="0.35">
      <c r="I723" s="90"/>
      <c r="J723" s="90"/>
    </row>
    <row r="724" spans="9:10" ht="15.75" customHeight="1" x14ac:dyDescent="0.35">
      <c r="I724" s="90"/>
      <c r="J724" s="90"/>
    </row>
    <row r="725" spans="9:10" ht="15.75" customHeight="1" x14ac:dyDescent="0.35">
      <c r="I725" s="90"/>
      <c r="J725" s="90"/>
    </row>
    <row r="726" spans="9:10" ht="15.75" customHeight="1" x14ac:dyDescent="0.35">
      <c r="I726" s="90"/>
      <c r="J726" s="90"/>
    </row>
    <row r="727" spans="9:10" ht="15.75" customHeight="1" x14ac:dyDescent="0.35">
      <c r="I727" s="90"/>
      <c r="J727" s="90"/>
    </row>
    <row r="728" spans="9:10" ht="15.75" customHeight="1" x14ac:dyDescent="0.35">
      <c r="I728" s="90"/>
      <c r="J728" s="90"/>
    </row>
    <row r="729" spans="9:10" ht="15.75" customHeight="1" x14ac:dyDescent="0.35">
      <c r="I729" s="90"/>
      <c r="J729" s="90"/>
    </row>
    <row r="730" spans="9:10" ht="15.75" customHeight="1" x14ac:dyDescent="0.35">
      <c r="I730" s="90"/>
      <c r="J730" s="90"/>
    </row>
    <row r="731" spans="9:10" ht="15.75" customHeight="1" x14ac:dyDescent="0.35">
      <c r="I731" s="90"/>
      <c r="J731" s="90"/>
    </row>
    <row r="732" spans="9:10" ht="15.75" customHeight="1" x14ac:dyDescent="0.35">
      <c r="I732" s="90"/>
      <c r="J732" s="90"/>
    </row>
    <row r="733" spans="9:10" ht="15.75" customHeight="1" x14ac:dyDescent="0.35">
      <c r="I733" s="90"/>
      <c r="J733" s="90"/>
    </row>
    <row r="734" spans="9:10" ht="15.75" customHeight="1" x14ac:dyDescent="0.35">
      <c r="I734" s="90"/>
      <c r="J734" s="90"/>
    </row>
    <row r="735" spans="9:10" ht="15.75" customHeight="1" x14ac:dyDescent="0.35">
      <c r="I735" s="90"/>
      <c r="J735" s="90"/>
    </row>
    <row r="736" spans="9:10" ht="15.75" customHeight="1" x14ac:dyDescent="0.35">
      <c r="I736" s="90"/>
      <c r="J736" s="90"/>
    </row>
    <row r="737" spans="9:10" ht="15.75" customHeight="1" x14ac:dyDescent="0.35">
      <c r="I737" s="90"/>
      <c r="J737" s="90"/>
    </row>
    <row r="738" spans="9:10" ht="15.75" customHeight="1" x14ac:dyDescent="0.35">
      <c r="I738" s="90"/>
      <c r="J738" s="90"/>
    </row>
    <row r="739" spans="9:10" ht="15.75" customHeight="1" x14ac:dyDescent="0.35">
      <c r="I739" s="90"/>
      <c r="J739" s="90"/>
    </row>
    <row r="740" spans="9:10" ht="15.75" customHeight="1" x14ac:dyDescent="0.35">
      <c r="I740" s="90"/>
      <c r="J740" s="90"/>
    </row>
    <row r="741" spans="9:10" ht="15.75" customHeight="1" x14ac:dyDescent="0.35">
      <c r="I741" s="90"/>
      <c r="J741" s="90"/>
    </row>
    <row r="742" spans="9:10" ht="15.75" customHeight="1" x14ac:dyDescent="0.35">
      <c r="I742" s="90"/>
      <c r="J742" s="90"/>
    </row>
    <row r="743" spans="9:10" ht="15.75" customHeight="1" x14ac:dyDescent="0.35">
      <c r="I743" s="90"/>
      <c r="J743" s="90"/>
    </row>
    <row r="744" spans="9:10" ht="15.75" customHeight="1" x14ac:dyDescent="0.35">
      <c r="I744" s="90"/>
      <c r="J744" s="90"/>
    </row>
    <row r="745" spans="9:10" ht="15.75" customHeight="1" x14ac:dyDescent="0.35">
      <c r="I745" s="90"/>
      <c r="J745" s="90"/>
    </row>
    <row r="746" spans="9:10" ht="15.75" customHeight="1" x14ac:dyDescent="0.35">
      <c r="I746" s="90"/>
      <c r="J746" s="90"/>
    </row>
    <row r="747" spans="9:10" ht="15.75" customHeight="1" x14ac:dyDescent="0.35">
      <c r="I747" s="90"/>
      <c r="J747" s="90"/>
    </row>
    <row r="748" spans="9:10" ht="15.75" customHeight="1" x14ac:dyDescent="0.35">
      <c r="I748" s="90"/>
      <c r="J748" s="90"/>
    </row>
    <row r="749" spans="9:10" ht="15.75" customHeight="1" x14ac:dyDescent="0.35">
      <c r="I749" s="90"/>
      <c r="J749" s="90"/>
    </row>
    <row r="750" spans="9:10" ht="15.75" customHeight="1" x14ac:dyDescent="0.35">
      <c r="I750" s="90"/>
      <c r="J750" s="90"/>
    </row>
    <row r="751" spans="9:10" ht="15.75" customHeight="1" x14ac:dyDescent="0.35">
      <c r="I751" s="90"/>
      <c r="J751" s="90"/>
    </row>
    <row r="752" spans="9:10" ht="15.75" customHeight="1" x14ac:dyDescent="0.35">
      <c r="I752" s="90"/>
      <c r="J752" s="90"/>
    </row>
    <row r="753" spans="9:10" ht="15.75" customHeight="1" x14ac:dyDescent="0.35">
      <c r="I753" s="90"/>
      <c r="J753" s="90"/>
    </row>
    <row r="754" spans="9:10" ht="15.75" customHeight="1" x14ac:dyDescent="0.35">
      <c r="I754" s="90"/>
      <c r="J754" s="90"/>
    </row>
    <row r="755" spans="9:10" ht="15.75" customHeight="1" x14ac:dyDescent="0.35">
      <c r="I755" s="90"/>
      <c r="J755" s="90"/>
    </row>
    <row r="756" spans="9:10" ht="15.75" customHeight="1" x14ac:dyDescent="0.35">
      <c r="I756" s="90"/>
      <c r="J756" s="90"/>
    </row>
    <row r="757" spans="9:10" ht="15.75" customHeight="1" x14ac:dyDescent="0.35">
      <c r="I757" s="90"/>
      <c r="J757" s="90"/>
    </row>
    <row r="758" spans="9:10" ht="15.75" customHeight="1" x14ac:dyDescent="0.35">
      <c r="I758" s="90"/>
      <c r="J758" s="90"/>
    </row>
    <row r="759" spans="9:10" ht="15.75" customHeight="1" x14ac:dyDescent="0.35">
      <c r="I759" s="90"/>
      <c r="J759" s="90"/>
    </row>
    <row r="760" spans="9:10" ht="15.75" customHeight="1" x14ac:dyDescent="0.35">
      <c r="I760" s="90"/>
      <c r="J760" s="90"/>
    </row>
    <row r="761" spans="9:10" ht="15.75" customHeight="1" x14ac:dyDescent="0.35">
      <c r="I761" s="90"/>
      <c r="J761" s="90"/>
    </row>
    <row r="762" spans="9:10" ht="15.75" customHeight="1" x14ac:dyDescent="0.35">
      <c r="I762" s="90"/>
      <c r="J762" s="90"/>
    </row>
    <row r="763" spans="9:10" ht="15.75" customHeight="1" x14ac:dyDescent="0.35">
      <c r="I763" s="90"/>
      <c r="J763" s="90"/>
    </row>
    <row r="764" spans="9:10" ht="15.75" customHeight="1" x14ac:dyDescent="0.35">
      <c r="I764" s="90"/>
      <c r="J764" s="90"/>
    </row>
    <row r="765" spans="9:10" ht="15.75" customHeight="1" x14ac:dyDescent="0.35">
      <c r="I765" s="90"/>
      <c r="J765" s="90"/>
    </row>
    <row r="766" spans="9:10" ht="15.75" customHeight="1" x14ac:dyDescent="0.35">
      <c r="I766" s="90"/>
      <c r="J766" s="90"/>
    </row>
    <row r="767" spans="9:10" ht="15.75" customHeight="1" x14ac:dyDescent="0.35">
      <c r="I767" s="90"/>
      <c r="J767" s="90"/>
    </row>
    <row r="768" spans="9:10" ht="15.75" customHeight="1" x14ac:dyDescent="0.35">
      <c r="I768" s="90"/>
      <c r="J768" s="90"/>
    </row>
    <row r="769" spans="9:10" ht="15.75" customHeight="1" x14ac:dyDescent="0.35">
      <c r="I769" s="90"/>
      <c r="J769" s="90"/>
    </row>
    <row r="770" spans="9:10" ht="15.75" customHeight="1" x14ac:dyDescent="0.35">
      <c r="I770" s="90"/>
      <c r="J770" s="90"/>
    </row>
    <row r="771" spans="9:10" ht="15.75" customHeight="1" x14ac:dyDescent="0.35">
      <c r="I771" s="90"/>
      <c r="J771" s="90"/>
    </row>
    <row r="772" spans="9:10" ht="15.75" customHeight="1" x14ac:dyDescent="0.35">
      <c r="I772" s="90"/>
      <c r="J772" s="90"/>
    </row>
    <row r="773" spans="9:10" ht="15.75" customHeight="1" x14ac:dyDescent="0.35">
      <c r="I773" s="90"/>
      <c r="J773" s="90"/>
    </row>
    <row r="774" spans="9:10" ht="15.75" customHeight="1" x14ac:dyDescent="0.35">
      <c r="I774" s="90"/>
      <c r="J774" s="90"/>
    </row>
    <row r="775" spans="9:10" ht="15.75" customHeight="1" x14ac:dyDescent="0.35">
      <c r="I775" s="90"/>
      <c r="J775" s="90"/>
    </row>
    <row r="776" spans="9:10" ht="15.75" customHeight="1" x14ac:dyDescent="0.35">
      <c r="I776" s="90"/>
      <c r="J776" s="90"/>
    </row>
    <row r="777" spans="9:10" ht="15.75" customHeight="1" x14ac:dyDescent="0.35">
      <c r="I777" s="90"/>
      <c r="J777" s="90"/>
    </row>
    <row r="778" spans="9:10" ht="15.75" customHeight="1" x14ac:dyDescent="0.35">
      <c r="I778" s="90"/>
      <c r="J778" s="90"/>
    </row>
    <row r="779" spans="9:10" ht="15.75" customHeight="1" x14ac:dyDescent="0.35">
      <c r="I779" s="90"/>
      <c r="J779" s="90"/>
    </row>
    <row r="780" spans="9:10" ht="15.75" customHeight="1" x14ac:dyDescent="0.35">
      <c r="I780" s="90"/>
      <c r="J780" s="90"/>
    </row>
    <row r="781" spans="9:10" ht="15.75" customHeight="1" x14ac:dyDescent="0.35">
      <c r="I781" s="90"/>
      <c r="J781" s="90"/>
    </row>
    <row r="782" spans="9:10" ht="15.75" customHeight="1" x14ac:dyDescent="0.35">
      <c r="I782" s="90"/>
      <c r="J782" s="90"/>
    </row>
    <row r="783" spans="9:10" ht="15.75" customHeight="1" x14ac:dyDescent="0.35">
      <c r="I783" s="90"/>
      <c r="J783" s="90"/>
    </row>
    <row r="784" spans="9:10" ht="15.75" customHeight="1" x14ac:dyDescent="0.35">
      <c r="I784" s="90"/>
      <c r="J784" s="90"/>
    </row>
    <row r="785" spans="9:10" ht="15.75" customHeight="1" x14ac:dyDescent="0.35">
      <c r="I785" s="90"/>
      <c r="J785" s="90"/>
    </row>
    <row r="786" spans="9:10" ht="15.75" customHeight="1" x14ac:dyDescent="0.35">
      <c r="I786" s="90"/>
      <c r="J786" s="90"/>
    </row>
    <row r="787" spans="9:10" ht="15.75" customHeight="1" x14ac:dyDescent="0.35">
      <c r="I787" s="90"/>
      <c r="J787" s="90"/>
    </row>
    <row r="788" spans="9:10" ht="15.75" customHeight="1" x14ac:dyDescent="0.35">
      <c r="I788" s="90"/>
      <c r="J788" s="90"/>
    </row>
    <row r="789" spans="9:10" ht="15.75" customHeight="1" x14ac:dyDescent="0.35">
      <c r="I789" s="90"/>
      <c r="J789" s="90"/>
    </row>
    <row r="790" spans="9:10" ht="15.75" customHeight="1" x14ac:dyDescent="0.35">
      <c r="I790" s="90"/>
      <c r="J790" s="90"/>
    </row>
    <row r="791" spans="9:10" ht="15.75" customHeight="1" x14ac:dyDescent="0.35">
      <c r="I791" s="90"/>
      <c r="J791" s="90"/>
    </row>
    <row r="792" spans="9:10" ht="15.75" customHeight="1" x14ac:dyDescent="0.35">
      <c r="I792" s="90"/>
      <c r="J792" s="90"/>
    </row>
    <row r="793" spans="9:10" ht="15.75" customHeight="1" x14ac:dyDescent="0.35">
      <c r="I793" s="90"/>
      <c r="J793" s="90"/>
    </row>
    <row r="794" spans="9:10" ht="15.75" customHeight="1" x14ac:dyDescent="0.35">
      <c r="I794" s="90"/>
      <c r="J794" s="90"/>
    </row>
    <row r="795" spans="9:10" ht="15.75" customHeight="1" x14ac:dyDescent="0.35">
      <c r="I795" s="90"/>
      <c r="J795" s="90"/>
    </row>
    <row r="796" spans="9:10" ht="15.75" customHeight="1" x14ac:dyDescent="0.35">
      <c r="I796" s="90"/>
      <c r="J796" s="90"/>
    </row>
    <row r="797" spans="9:10" ht="15.75" customHeight="1" x14ac:dyDescent="0.35">
      <c r="I797" s="90"/>
      <c r="J797" s="90"/>
    </row>
    <row r="798" spans="9:10" ht="15.75" customHeight="1" x14ac:dyDescent="0.35">
      <c r="I798" s="90"/>
      <c r="J798" s="90"/>
    </row>
    <row r="799" spans="9:10" ht="15.75" customHeight="1" x14ac:dyDescent="0.35">
      <c r="I799" s="90"/>
      <c r="J799" s="90"/>
    </row>
    <row r="800" spans="9:10" ht="15.75" customHeight="1" x14ac:dyDescent="0.35">
      <c r="I800" s="90"/>
      <c r="J800" s="90"/>
    </row>
    <row r="801" spans="9:10" ht="15.75" customHeight="1" x14ac:dyDescent="0.35">
      <c r="I801" s="90"/>
      <c r="J801" s="90"/>
    </row>
    <row r="802" spans="9:10" ht="15.75" customHeight="1" x14ac:dyDescent="0.35">
      <c r="I802" s="90"/>
      <c r="J802" s="90"/>
    </row>
    <row r="803" spans="9:10" ht="15.75" customHeight="1" x14ac:dyDescent="0.35">
      <c r="I803" s="90"/>
      <c r="J803" s="90"/>
    </row>
    <row r="804" spans="9:10" ht="15.75" customHeight="1" x14ac:dyDescent="0.35">
      <c r="I804" s="90"/>
      <c r="J804" s="90"/>
    </row>
    <row r="805" spans="9:10" ht="15.75" customHeight="1" x14ac:dyDescent="0.35">
      <c r="I805" s="90"/>
      <c r="J805" s="90"/>
    </row>
    <row r="806" spans="9:10" ht="15.75" customHeight="1" x14ac:dyDescent="0.35">
      <c r="I806" s="90"/>
      <c r="J806" s="90"/>
    </row>
    <row r="807" spans="9:10" ht="15.75" customHeight="1" x14ac:dyDescent="0.35">
      <c r="I807" s="90"/>
      <c r="J807" s="90"/>
    </row>
    <row r="808" spans="9:10" ht="15.75" customHeight="1" x14ac:dyDescent="0.35">
      <c r="I808" s="90"/>
      <c r="J808" s="90"/>
    </row>
    <row r="809" spans="9:10" ht="15.75" customHeight="1" x14ac:dyDescent="0.35">
      <c r="I809" s="90"/>
      <c r="J809" s="90"/>
    </row>
    <row r="810" spans="9:10" ht="15.75" customHeight="1" x14ac:dyDescent="0.35">
      <c r="I810" s="90"/>
      <c r="J810" s="90"/>
    </row>
    <row r="811" spans="9:10" ht="15.75" customHeight="1" x14ac:dyDescent="0.35">
      <c r="I811" s="90"/>
      <c r="J811" s="90"/>
    </row>
    <row r="812" spans="9:10" ht="15.75" customHeight="1" x14ac:dyDescent="0.35">
      <c r="I812" s="90"/>
      <c r="J812" s="90"/>
    </row>
    <row r="813" spans="9:10" ht="15.75" customHeight="1" x14ac:dyDescent="0.35">
      <c r="I813" s="90"/>
      <c r="J813" s="90"/>
    </row>
    <row r="814" spans="9:10" ht="15.75" customHeight="1" x14ac:dyDescent="0.35">
      <c r="I814" s="90"/>
      <c r="J814" s="90"/>
    </row>
    <row r="815" spans="9:10" ht="15.75" customHeight="1" x14ac:dyDescent="0.35">
      <c r="I815" s="90"/>
      <c r="J815" s="90"/>
    </row>
    <row r="816" spans="9:10" ht="15.75" customHeight="1" x14ac:dyDescent="0.35">
      <c r="I816" s="90"/>
      <c r="J816" s="90"/>
    </row>
    <row r="817" spans="9:10" ht="15.75" customHeight="1" x14ac:dyDescent="0.35">
      <c r="I817" s="90"/>
      <c r="J817" s="90"/>
    </row>
    <row r="818" spans="9:10" ht="15.75" customHeight="1" x14ac:dyDescent="0.35">
      <c r="I818" s="90"/>
      <c r="J818" s="90"/>
    </row>
    <row r="819" spans="9:10" ht="15.75" customHeight="1" x14ac:dyDescent="0.35">
      <c r="I819" s="90"/>
      <c r="J819" s="90"/>
    </row>
    <row r="820" spans="9:10" ht="15.75" customHeight="1" x14ac:dyDescent="0.35">
      <c r="I820" s="90"/>
      <c r="J820" s="90"/>
    </row>
    <row r="821" spans="9:10" ht="15.75" customHeight="1" x14ac:dyDescent="0.35">
      <c r="I821" s="90"/>
      <c r="J821" s="90"/>
    </row>
    <row r="822" spans="9:10" ht="15.75" customHeight="1" x14ac:dyDescent="0.35">
      <c r="I822" s="90"/>
      <c r="J822" s="90"/>
    </row>
    <row r="823" spans="9:10" ht="15.75" customHeight="1" x14ac:dyDescent="0.35">
      <c r="I823" s="90"/>
      <c r="J823" s="90"/>
    </row>
    <row r="824" spans="9:10" ht="15.75" customHeight="1" x14ac:dyDescent="0.35">
      <c r="I824" s="90"/>
      <c r="J824" s="90"/>
    </row>
    <row r="825" spans="9:10" ht="15.75" customHeight="1" x14ac:dyDescent="0.35">
      <c r="I825" s="90"/>
      <c r="J825" s="90"/>
    </row>
    <row r="826" spans="9:10" ht="15.75" customHeight="1" x14ac:dyDescent="0.35">
      <c r="I826" s="90"/>
      <c r="J826" s="90"/>
    </row>
    <row r="827" spans="9:10" ht="15.75" customHeight="1" x14ac:dyDescent="0.35">
      <c r="I827" s="90"/>
      <c r="J827" s="90"/>
    </row>
    <row r="828" spans="9:10" ht="15.75" customHeight="1" x14ac:dyDescent="0.35">
      <c r="I828" s="90"/>
      <c r="J828" s="90"/>
    </row>
    <row r="829" spans="9:10" ht="15.75" customHeight="1" x14ac:dyDescent="0.35">
      <c r="I829" s="90"/>
      <c r="J829" s="90"/>
    </row>
    <row r="830" spans="9:10" ht="15.75" customHeight="1" x14ac:dyDescent="0.35">
      <c r="I830" s="90"/>
      <c r="J830" s="90"/>
    </row>
    <row r="831" spans="9:10" ht="15.75" customHeight="1" x14ac:dyDescent="0.35">
      <c r="I831" s="90"/>
      <c r="J831" s="90"/>
    </row>
    <row r="832" spans="9:10" ht="15.75" customHeight="1" x14ac:dyDescent="0.35">
      <c r="I832" s="90"/>
      <c r="J832" s="90"/>
    </row>
    <row r="833" spans="9:10" ht="15.75" customHeight="1" x14ac:dyDescent="0.35">
      <c r="I833" s="90"/>
      <c r="J833" s="90"/>
    </row>
    <row r="834" spans="9:10" ht="15.75" customHeight="1" x14ac:dyDescent="0.35">
      <c r="I834" s="90"/>
      <c r="J834" s="90"/>
    </row>
    <row r="835" spans="9:10" ht="15.75" customHeight="1" x14ac:dyDescent="0.35">
      <c r="I835" s="90"/>
      <c r="J835" s="90"/>
    </row>
    <row r="836" spans="9:10" ht="15.75" customHeight="1" x14ac:dyDescent="0.35">
      <c r="I836" s="90"/>
      <c r="J836" s="90"/>
    </row>
    <row r="837" spans="9:10" ht="15.75" customHeight="1" x14ac:dyDescent="0.35">
      <c r="I837" s="90"/>
      <c r="J837" s="90"/>
    </row>
    <row r="838" spans="9:10" ht="15.75" customHeight="1" x14ac:dyDescent="0.35">
      <c r="I838" s="90"/>
      <c r="J838" s="90"/>
    </row>
    <row r="839" spans="9:10" ht="15.75" customHeight="1" x14ac:dyDescent="0.35">
      <c r="I839" s="90"/>
      <c r="J839" s="90"/>
    </row>
    <row r="840" spans="9:10" ht="15.75" customHeight="1" x14ac:dyDescent="0.35">
      <c r="I840" s="90"/>
      <c r="J840" s="90"/>
    </row>
    <row r="841" spans="9:10" ht="15.75" customHeight="1" x14ac:dyDescent="0.35">
      <c r="I841" s="90"/>
      <c r="J841" s="90"/>
    </row>
    <row r="842" spans="9:10" ht="15.75" customHeight="1" x14ac:dyDescent="0.35">
      <c r="I842" s="90"/>
      <c r="J842" s="90"/>
    </row>
    <row r="843" spans="9:10" ht="15.75" customHeight="1" x14ac:dyDescent="0.35">
      <c r="I843" s="90"/>
      <c r="J843" s="90"/>
    </row>
    <row r="844" spans="9:10" ht="15.75" customHeight="1" x14ac:dyDescent="0.35">
      <c r="I844" s="90"/>
      <c r="J844" s="90"/>
    </row>
    <row r="845" spans="9:10" ht="15.75" customHeight="1" x14ac:dyDescent="0.35">
      <c r="I845" s="90"/>
      <c r="J845" s="90"/>
    </row>
    <row r="846" spans="9:10" ht="15.75" customHeight="1" x14ac:dyDescent="0.35">
      <c r="I846" s="90"/>
      <c r="J846" s="90"/>
    </row>
    <row r="847" spans="9:10" ht="15.75" customHeight="1" x14ac:dyDescent="0.35">
      <c r="I847" s="90"/>
      <c r="J847" s="90"/>
    </row>
    <row r="848" spans="9:10" ht="15.75" customHeight="1" x14ac:dyDescent="0.35">
      <c r="I848" s="90"/>
      <c r="J848" s="90"/>
    </row>
    <row r="849" spans="9:10" ht="15.75" customHeight="1" x14ac:dyDescent="0.35">
      <c r="I849" s="90"/>
      <c r="J849" s="90"/>
    </row>
    <row r="850" spans="9:10" ht="15.75" customHeight="1" x14ac:dyDescent="0.35">
      <c r="I850" s="90"/>
      <c r="J850" s="90"/>
    </row>
    <row r="851" spans="9:10" ht="15.75" customHeight="1" x14ac:dyDescent="0.35">
      <c r="I851" s="90"/>
      <c r="J851" s="90"/>
    </row>
    <row r="852" spans="9:10" ht="15.75" customHeight="1" x14ac:dyDescent="0.35">
      <c r="I852" s="90"/>
      <c r="J852" s="90"/>
    </row>
    <row r="853" spans="9:10" ht="15.75" customHeight="1" x14ac:dyDescent="0.35">
      <c r="I853" s="90"/>
      <c r="J853" s="90"/>
    </row>
    <row r="854" spans="9:10" ht="15.75" customHeight="1" x14ac:dyDescent="0.35">
      <c r="I854" s="90"/>
      <c r="J854" s="90"/>
    </row>
    <row r="855" spans="9:10" ht="15.75" customHeight="1" x14ac:dyDescent="0.35">
      <c r="I855" s="90"/>
      <c r="J855" s="90"/>
    </row>
    <row r="856" spans="9:10" ht="15.75" customHeight="1" x14ac:dyDescent="0.35">
      <c r="I856" s="90"/>
      <c r="J856" s="90"/>
    </row>
    <row r="857" spans="9:10" ht="15.75" customHeight="1" x14ac:dyDescent="0.35">
      <c r="I857" s="90"/>
      <c r="J857" s="90"/>
    </row>
    <row r="858" spans="9:10" ht="15.75" customHeight="1" x14ac:dyDescent="0.35">
      <c r="I858" s="90"/>
      <c r="J858" s="90"/>
    </row>
    <row r="859" spans="9:10" ht="15.75" customHeight="1" x14ac:dyDescent="0.35">
      <c r="I859" s="90"/>
      <c r="J859" s="90"/>
    </row>
    <row r="860" spans="9:10" ht="15.75" customHeight="1" x14ac:dyDescent="0.35">
      <c r="I860" s="90"/>
      <c r="J860" s="90"/>
    </row>
    <row r="861" spans="9:10" ht="15.75" customHeight="1" x14ac:dyDescent="0.35">
      <c r="I861" s="90"/>
      <c r="J861" s="90"/>
    </row>
    <row r="862" spans="9:10" ht="15.75" customHeight="1" x14ac:dyDescent="0.35">
      <c r="I862" s="90"/>
      <c r="J862" s="90"/>
    </row>
    <row r="863" spans="9:10" ht="15.75" customHeight="1" x14ac:dyDescent="0.35">
      <c r="I863" s="90"/>
      <c r="J863" s="90"/>
    </row>
    <row r="864" spans="9:10" ht="15.75" customHeight="1" x14ac:dyDescent="0.35">
      <c r="I864" s="90"/>
      <c r="J864" s="90"/>
    </row>
    <row r="865" spans="9:10" ht="15.75" customHeight="1" x14ac:dyDescent="0.35">
      <c r="I865" s="90"/>
      <c r="J865" s="90"/>
    </row>
    <row r="866" spans="9:10" ht="15.75" customHeight="1" x14ac:dyDescent="0.35">
      <c r="I866" s="90"/>
      <c r="J866" s="90"/>
    </row>
    <row r="867" spans="9:10" ht="15.75" customHeight="1" x14ac:dyDescent="0.35">
      <c r="I867" s="90"/>
      <c r="J867" s="90"/>
    </row>
    <row r="868" spans="9:10" ht="15.75" customHeight="1" x14ac:dyDescent="0.35">
      <c r="I868" s="90"/>
      <c r="J868" s="90"/>
    </row>
    <row r="869" spans="9:10" ht="15.75" customHeight="1" x14ac:dyDescent="0.35">
      <c r="I869" s="90"/>
      <c r="J869" s="90"/>
    </row>
    <row r="870" spans="9:10" ht="15.75" customHeight="1" x14ac:dyDescent="0.35">
      <c r="I870" s="90"/>
      <c r="J870" s="90"/>
    </row>
    <row r="871" spans="9:10" ht="15.75" customHeight="1" x14ac:dyDescent="0.35">
      <c r="I871" s="90"/>
      <c r="J871" s="90"/>
    </row>
    <row r="872" spans="9:10" ht="15.75" customHeight="1" x14ac:dyDescent="0.35">
      <c r="I872" s="90"/>
      <c r="J872" s="90"/>
    </row>
    <row r="873" spans="9:10" ht="15.75" customHeight="1" x14ac:dyDescent="0.35">
      <c r="I873" s="90"/>
      <c r="J873" s="90"/>
    </row>
    <row r="874" spans="9:10" ht="15.75" customHeight="1" x14ac:dyDescent="0.35">
      <c r="I874" s="90"/>
      <c r="J874" s="90"/>
    </row>
    <row r="875" spans="9:10" ht="15.75" customHeight="1" x14ac:dyDescent="0.35">
      <c r="I875" s="90"/>
      <c r="J875" s="90"/>
    </row>
    <row r="876" spans="9:10" ht="15.75" customHeight="1" x14ac:dyDescent="0.35">
      <c r="I876" s="90"/>
      <c r="J876" s="90"/>
    </row>
    <row r="877" spans="9:10" ht="15.75" customHeight="1" x14ac:dyDescent="0.35">
      <c r="I877" s="90"/>
      <c r="J877" s="90"/>
    </row>
    <row r="878" spans="9:10" ht="15.75" customHeight="1" x14ac:dyDescent="0.35">
      <c r="I878" s="90"/>
      <c r="J878" s="90"/>
    </row>
    <row r="879" spans="9:10" ht="15.75" customHeight="1" x14ac:dyDescent="0.35">
      <c r="I879" s="90"/>
      <c r="J879" s="90"/>
    </row>
    <row r="880" spans="9:10" ht="15.75" customHeight="1" x14ac:dyDescent="0.35">
      <c r="I880" s="90"/>
      <c r="J880" s="90"/>
    </row>
    <row r="881" spans="9:10" ht="15.75" customHeight="1" x14ac:dyDescent="0.35">
      <c r="I881" s="90"/>
      <c r="J881" s="90"/>
    </row>
    <row r="882" spans="9:10" ht="15.75" customHeight="1" x14ac:dyDescent="0.35">
      <c r="I882" s="90"/>
      <c r="J882" s="90"/>
    </row>
    <row r="883" spans="9:10" ht="15.75" customHeight="1" x14ac:dyDescent="0.35">
      <c r="I883" s="90"/>
      <c r="J883" s="90"/>
    </row>
    <row r="884" spans="9:10" ht="15.75" customHeight="1" x14ac:dyDescent="0.35">
      <c r="I884" s="90"/>
      <c r="J884" s="90"/>
    </row>
    <row r="885" spans="9:10" ht="15.75" customHeight="1" x14ac:dyDescent="0.35">
      <c r="I885" s="90"/>
      <c r="J885" s="90"/>
    </row>
    <row r="886" spans="9:10" ht="15.75" customHeight="1" x14ac:dyDescent="0.35">
      <c r="I886" s="90"/>
      <c r="J886" s="90"/>
    </row>
    <row r="887" spans="9:10" ht="15.75" customHeight="1" x14ac:dyDescent="0.35">
      <c r="I887" s="90"/>
      <c r="J887" s="90"/>
    </row>
    <row r="888" spans="9:10" ht="15.75" customHeight="1" x14ac:dyDescent="0.35">
      <c r="I888" s="90"/>
      <c r="J888" s="90"/>
    </row>
    <row r="889" spans="9:10" ht="15.75" customHeight="1" x14ac:dyDescent="0.35">
      <c r="I889" s="90"/>
      <c r="J889" s="90"/>
    </row>
    <row r="890" spans="9:10" ht="15.75" customHeight="1" x14ac:dyDescent="0.35">
      <c r="I890" s="90"/>
      <c r="J890" s="90"/>
    </row>
    <row r="891" spans="9:10" ht="15.75" customHeight="1" x14ac:dyDescent="0.35">
      <c r="I891" s="90"/>
      <c r="J891" s="90"/>
    </row>
    <row r="892" spans="9:10" ht="15.75" customHeight="1" x14ac:dyDescent="0.35">
      <c r="I892" s="90"/>
      <c r="J892" s="90"/>
    </row>
    <row r="893" spans="9:10" ht="15.75" customHeight="1" x14ac:dyDescent="0.35">
      <c r="I893" s="90"/>
      <c r="J893" s="90"/>
    </row>
    <row r="894" spans="9:10" ht="15.75" customHeight="1" x14ac:dyDescent="0.35">
      <c r="I894" s="90"/>
      <c r="J894" s="90"/>
    </row>
    <row r="895" spans="9:10" ht="15.75" customHeight="1" x14ac:dyDescent="0.35">
      <c r="I895" s="90"/>
      <c r="J895" s="90"/>
    </row>
    <row r="896" spans="9:10" ht="15.75" customHeight="1" x14ac:dyDescent="0.35">
      <c r="I896" s="90"/>
      <c r="J896" s="90"/>
    </row>
    <row r="897" spans="9:10" ht="15.75" customHeight="1" x14ac:dyDescent="0.35">
      <c r="I897" s="90"/>
      <c r="J897" s="90"/>
    </row>
    <row r="898" spans="9:10" ht="15.75" customHeight="1" x14ac:dyDescent="0.35">
      <c r="I898" s="90"/>
      <c r="J898" s="90"/>
    </row>
    <row r="899" spans="9:10" ht="15.75" customHeight="1" x14ac:dyDescent="0.35">
      <c r="I899" s="90"/>
      <c r="J899" s="90"/>
    </row>
    <row r="900" spans="9:10" ht="15.75" customHeight="1" x14ac:dyDescent="0.35">
      <c r="I900" s="90"/>
      <c r="J900" s="90"/>
    </row>
    <row r="901" spans="9:10" ht="15.75" customHeight="1" x14ac:dyDescent="0.35">
      <c r="I901" s="90"/>
      <c r="J901" s="90"/>
    </row>
    <row r="902" spans="9:10" ht="15.75" customHeight="1" x14ac:dyDescent="0.35">
      <c r="I902" s="90"/>
      <c r="J902" s="90"/>
    </row>
    <row r="903" spans="9:10" ht="15.75" customHeight="1" x14ac:dyDescent="0.35">
      <c r="I903" s="90"/>
      <c r="J903" s="90"/>
    </row>
    <row r="904" spans="9:10" ht="15.75" customHeight="1" x14ac:dyDescent="0.35">
      <c r="I904" s="90"/>
      <c r="J904" s="90"/>
    </row>
    <row r="905" spans="9:10" ht="15.75" customHeight="1" x14ac:dyDescent="0.35">
      <c r="I905" s="90"/>
      <c r="J905" s="90"/>
    </row>
    <row r="906" spans="9:10" ht="15.75" customHeight="1" x14ac:dyDescent="0.35">
      <c r="I906" s="90"/>
      <c r="J906" s="90"/>
    </row>
    <row r="907" spans="9:10" ht="15.75" customHeight="1" x14ac:dyDescent="0.35">
      <c r="I907" s="90"/>
      <c r="J907" s="90"/>
    </row>
    <row r="908" spans="9:10" ht="15.75" customHeight="1" x14ac:dyDescent="0.35">
      <c r="I908" s="90"/>
      <c r="J908" s="90"/>
    </row>
    <row r="909" spans="9:10" ht="15.75" customHeight="1" x14ac:dyDescent="0.35">
      <c r="I909" s="90"/>
      <c r="J909" s="90"/>
    </row>
    <row r="910" spans="9:10" ht="15.75" customHeight="1" x14ac:dyDescent="0.35">
      <c r="I910" s="90"/>
      <c r="J910" s="90"/>
    </row>
    <row r="911" spans="9:10" ht="15.75" customHeight="1" x14ac:dyDescent="0.35">
      <c r="I911" s="90"/>
      <c r="J911" s="90"/>
    </row>
    <row r="912" spans="9:10" ht="15.75" customHeight="1" x14ac:dyDescent="0.35">
      <c r="I912" s="90"/>
      <c r="J912" s="90"/>
    </row>
    <row r="913" spans="9:10" ht="15.75" customHeight="1" x14ac:dyDescent="0.35">
      <c r="I913" s="90"/>
      <c r="J913" s="90"/>
    </row>
    <row r="914" spans="9:10" ht="15.75" customHeight="1" x14ac:dyDescent="0.35">
      <c r="I914" s="90"/>
      <c r="J914" s="90"/>
    </row>
    <row r="915" spans="9:10" ht="15.75" customHeight="1" x14ac:dyDescent="0.35">
      <c r="I915" s="90"/>
      <c r="J915" s="90"/>
    </row>
    <row r="916" spans="9:10" ht="15.75" customHeight="1" x14ac:dyDescent="0.35">
      <c r="I916" s="90"/>
      <c r="J916" s="90"/>
    </row>
    <row r="917" spans="9:10" ht="15.75" customHeight="1" x14ac:dyDescent="0.35">
      <c r="I917" s="90"/>
      <c r="J917" s="90"/>
    </row>
    <row r="918" spans="9:10" ht="15.75" customHeight="1" x14ac:dyDescent="0.35">
      <c r="I918" s="90"/>
      <c r="J918" s="90"/>
    </row>
    <row r="919" spans="9:10" ht="15.75" customHeight="1" x14ac:dyDescent="0.35">
      <c r="I919" s="90"/>
      <c r="J919" s="90"/>
    </row>
    <row r="920" spans="9:10" ht="15.75" customHeight="1" x14ac:dyDescent="0.35">
      <c r="I920" s="90"/>
      <c r="J920" s="90"/>
    </row>
    <row r="921" spans="9:10" ht="15.75" customHeight="1" x14ac:dyDescent="0.35">
      <c r="I921" s="90"/>
      <c r="J921" s="90"/>
    </row>
    <row r="922" spans="9:10" ht="15.75" customHeight="1" x14ac:dyDescent="0.35">
      <c r="I922" s="90"/>
      <c r="J922" s="90"/>
    </row>
    <row r="923" spans="9:10" ht="15.75" customHeight="1" x14ac:dyDescent="0.35">
      <c r="I923" s="90"/>
      <c r="J923" s="90"/>
    </row>
    <row r="924" spans="9:10" ht="15.75" customHeight="1" x14ac:dyDescent="0.35">
      <c r="I924" s="90"/>
      <c r="J924" s="90"/>
    </row>
    <row r="925" spans="9:10" ht="15.75" customHeight="1" x14ac:dyDescent="0.35">
      <c r="I925" s="90"/>
      <c r="J925" s="90"/>
    </row>
    <row r="926" spans="9:10" ht="15.75" customHeight="1" x14ac:dyDescent="0.35">
      <c r="I926" s="90"/>
      <c r="J926" s="90"/>
    </row>
    <row r="927" spans="9:10" ht="15.75" customHeight="1" x14ac:dyDescent="0.35">
      <c r="I927" s="90"/>
      <c r="J927" s="90"/>
    </row>
    <row r="928" spans="9:10" ht="15.75" customHeight="1" x14ac:dyDescent="0.35">
      <c r="I928" s="90"/>
      <c r="J928" s="90"/>
    </row>
    <row r="929" spans="9:10" ht="15.75" customHeight="1" x14ac:dyDescent="0.35">
      <c r="I929" s="90"/>
      <c r="J929" s="90"/>
    </row>
    <row r="930" spans="9:10" ht="15.75" customHeight="1" x14ac:dyDescent="0.35">
      <c r="I930" s="90"/>
      <c r="J930" s="90"/>
    </row>
    <row r="931" spans="9:10" ht="15.75" customHeight="1" x14ac:dyDescent="0.35">
      <c r="I931" s="90"/>
      <c r="J931" s="90"/>
    </row>
    <row r="932" spans="9:10" ht="15.75" customHeight="1" x14ac:dyDescent="0.35">
      <c r="I932" s="90"/>
      <c r="J932" s="90"/>
    </row>
    <row r="933" spans="9:10" ht="15.75" customHeight="1" x14ac:dyDescent="0.35">
      <c r="I933" s="90"/>
      <c r="J933" s="90"/>
    </row>
    <row r="934" spans="9:10" ht="15.75" customHeight="1" x14ac:dyDescent="0.35">
      <c r="I934" s="90"/>
      <c r="J934" s="90"/>
    </row>
    <row r="935" spans="9:10" ht="15.75" customHeight="1" x14ac:dyDescent="0.35">
      <c r="I935" s="90"/>
      <c r="J935" s="90"/>
    </row>
    <row r="936" spans="9:10" ht="15.75" customHeight="1" x14ac:dyDescent="0.35">
      <c r="I936" s="90"/>
      <c r="J936" s="90"/>
    </row>
    <row r="937" spans="9:10" ht="15.75" customHeight="1" x14ac:dyDescent="0.35">
      <c r="I937" s="90"/>
      <c r="J937" s="90"/>
    </row>
    <row r="938" spans="9:10" ht="15.75" customHeight="1" x14ac:dyDescent="0.35">
      <c r="I938" s="90"/>
      <c r="J938" s="90"/>
    </row>
    <row r="939" spans="9:10" ht="15.75" customHeight="1" x14ac:dyDescent="0.35">
      <c r="I939" s="90"/>
      <c r="J939" s="90"/>
    </row>
    <row r="940" spans="9:10" ht="15.75" customHeight="1" x14ac:dyDescent="0.35">
      <c r="I940" s="90"/>
      <c r="J940" s="90"/>
    </row>
    <row r="941" spans="9:10" ht="15.75" customHeight="1" x14ac:dyDescent="0.35">
      <c r="I941" s="90"/>
      <c r="J941" s="90"/>
    </row>
    <row r="942" spans="9:10" ht="15.75" customHeight="1" x14ac:dyDescent="0.35">
      <c r="I942" s="90"/>
      <c r="J942" s="90"/>
    </row>
    <row r="943" spans="9:10" ht="15.75" customHeight="1" x14ac:dyDescent="0.35">
      <c r="I943" s="90"/>
      <c r="J943" s="90"/>
    </row>
    <row r="944" spans="9:10" ht="15.75" customHeight="1" x14ac:dyDescent="0.35">
      <c r="I944" s="90"/>
      <c r="J944" s="90"/>
    </row>
    <row r="945" spans="9:10" ht="15.75" customHeight="1" x14ac:dyDescent="0.35">
      <c r="I945" s="90"/>
      <c r="J945" s="90"/>
    </row>
    <row r="946" spans="9:10" ht="15.75" customHeight="1" x14ac:dyDescent="0.35">
      <c r="I946" s="90"/>
      <c r="J946" s="90"/>
    </row>
    <row r="947" spans="9:10" ht="15.75" customHeight="1" x14ac:dyDescent="0.35">
      <c r="I947" s="90"/>
      <c r="J947" s="90"/>
    </row>
    <row r="948" spans="9:10" ht="15.75" customHeight="1" x14ac:dyDescent="0.35">
      <c r="I948" s="90"/>
      <c r="J948" s="90"/>
    </row>
    <row r="949" spans="9:10" ht="15.75" customHeight="1" x14ac:dyDescent="0.35">
      <c r="I949" s="90"/>
      <c r="J949" s="90"/>
    </row>
    <row r="950" spans="9:10" ht="15.75" customHeight="1" x14ac:dyDescent="0.35">
      <c r="I950" s="90"/>
      <c r="J950" s="90"/>
    </row>
    <row r="951" spans="9:10" ht="15.75" customHeight="1" x14ac:dyDescent="0.35">
      <c r="I951" s="90"/>
      <c r="J951" s="90"/>
    </row>
    <row r="952" spans="9:10" ht="15.75" customHeight="1" x14ac:dyDescent="0.35">
      <c r="I952" s="90"/>
      <c r="J952" s="90"/>
    </row>
    <row r="953" spans="9:10" ht="15.75" customHeight="1" x14ac:dyDescent="0.35">
      <c r="I953" s="90"/>
      <c r="J953" s="90"/>
    </row>
    <row r="954" spans="9:10" ht="15.75" customHeight="1" x14ac:dyDescent="0.35">
      <c r="I954" s="90"/>
      <c r="J954" s="90"/>
    </row>
    <row r="955" spans="9:10" ht="15.75" customHeight="1" x14ac:dyDescent="0.35">
      <c r="I955" s="90"/>
      <c r="J955" s="90"/>
    </row>
    <row r="956" spans="9:10" ht="15.75" customHeight="1" x14ac:dyDescent="0.35">
      <c r="I956" s="90"/>
      <c r="J956" s="90"/>
    </row>
    <row r="957" spans="9:10" ht="15.75" customHeight="1" x14ac:dyDescent="0.35">
      <c r="I957" s="90"/>
      <c r="J957" s="90"/>
    </row>
    <row r="958" spans="9:10" ht="15.75" customHeight="1" x14ac:dyDescent="0.35">
      <c r="I958" s="90"/>
      <c r="J958" s="90"/>
    </row>
    <row r="959" spans="9:10" ht="15.75" customHeight="1" x14ac:dyDescent="0.35">
      <c r="I959" s="90"/>
      <c r="J959" s="90"/>
    </row>
    <row r="960" spans="9:10" ht="15.75" customHeight="1" x14ac:dyDescent="0.35">
      <c r="I960" s="90"/>
      <c r="J960" s="90"/>
    </row>
    <row r="961" spans="9:10" ht="15.75" customHeight="1" x14ac:dyDescent="0.35">
      <c r="I961" s="90"/>
      <c r="J961" s="90"/>
    </row>
    <row r="962" spans="9:10" ht="15.75" customHeight="1" x14ac:dyDescent="0.35">
      <c r="I962" s="90"/>
      <c r="J962" s="90"/>
    </row>
    <row r="963" spans="9:10" ht="15.75" customHeight="1" x14ac:dyDescent="0.35">
      <c r="I963" s="90"/>
      <c r="J963" s="90"/>
    </row>
    <row r="964" spans="9:10" ht="15.75" customHeight="1" x14ac:dyDescent="0.35">
      <c r="I964" s="90"/>
      <c r="J964" s="90"/>
    </row>
    <row r="965" spans="9:10" ht="15.75" customHeight="1" x14ac:dyDescent="0.35">
      <c r="I965" s="90"/>
      <c r="J965" s="90"/>
    </row>
    <row r="966" spans="9:10" ht="15.75" customHeight="1" x14ac:dyDescent="0.35">
      <c r="I966" s="90"/>
      <c r="J966" s="90"/>
    </row>
    <row r="967" spans="9:10" ht="15.75" customHeight="1" x14ac:dyDescent="0.35">
      <c r="I967" s="90"/>
      <c r="J967" s="90"/>
    </row>
    <row r="968" spans="9:10" ht="15.75" customHeight="1" x14ac:dyDescent="0.35">
      <c r="I968" s="90"/>
      <c r="J968" s="90"/>
    </row>
    <row r="969" spans="9:10" ht="15.75" customHeight="1" x14ac:dyDescent="0.35">
      <c r="I969" s="90"/>
      <c r="J969" s="90"/>
    </row>
    <row r="970" spans="9:10" ht="15.75" customHeight="1" x14ac:dyDescent="0.35">
      <c r="I970" s="90"/>
      <c r="J970" s="90"/>
    </row>
    <row r="971" spans="9:10" ht="15.75" customHeight="1" x14ac:dyDescent="0.35">
      <c r="I971" s="90"/>
      <c r="J971" s="90"/>
    </row>
    <row r="972" spans="9:10" ht="15.75" customHeight="1" x14ac:dyDescent="0.35">
      <c r="I972" s="90"/>
      <c r="J972" s="90"/>
    </row>
    <row r="973" spans="9:10" ht="15.75" customHeight="1" x14ac:dyDescent="0.35">
      <c r="I973" s="90"/>
      <c r="J973" s="90"/>
    </row>
    <row r="974" spans="9:10" ht="15.75" customHeight="1" x14ac:dyDescent="0.35">
      <c r="I974" s="90"/>
      <c r="J974" s="90"/>
    </row>
    <row r="975" spans="9:10" ht="15.75" customHeight="1" x14ac:dyDescent="0.35">
      <c r="I975" s="90"/>
      <c r="J975" s="90"/>
    </row>
    <row r="976" spans="9:10" ht="15.75" customHeight="1" x14ac:dyDescent="0.35">
      <c r="I976" s="90"/>
      <c r="J976" s="90"/>
    </row>
    <row r="977" spans="9:10" ht="15.75" customHeight="1" x14ac:dyDescent="0.35">
      <c r="I977" s="90"/>
      <c r="J977" s="90"/>
    </row>
    <row r="978" spans="9:10" ht="15.75" customHeight="1" x14ac:dyDescent="0.35">
      <c r="I978" s="90"/>
      <c r="J978" s="90"/>
    </row>
    <row r="979" spans="9:10" ht="15.75" customHeight="1" x14ac:dyDescent="0.35">
      <c r="I979" s="90"/>
      <c r="J979" s="90"/>
    </row>
    <row r="980" spans="9:10" ht="15.75" customHeight="1" x14ac:dyDescent="0.35">
      <c r="I980" s="90"/>
      <c r="J980" s="90"/>
    </row>
    <row r="981" spans="9:10" ht="15.75" customHeight="1" x14ac:dyDescent="0.35">
      <c r="I981" s="90"/>
      <c r="J981" s="90"/>
    </row>
    <row r="982" spans="9:10" ht="15.75" customHeight="1" x14ac:dyDescent="0.35">
      <c r="I982" s="90"/>
      <c r="J982" s="90"/>
    </row>
    <row r="983" spans="9:10" ht="15.75" customHeight="1" x14ac:dyDescent="0.35">
      <c r="I983" s="90"/>
      <c r="J983" s="90"/>
    </row>
    <row r="984" spans="9:10" ht="15.75" customHeight="1" x14ac:dyDescent="0.35">
      <c r="I984" s="90"/>
      <c r="J984" s="90"/>
    </row>
    <row r="985" spans="9:10" ht="15.75" customHeight="1" x14ac:dyDescent="0.35">
      <c r="I985" s="90"/>
      <c r="J985" s="90"/>
    </row>
    <row r="986" spans="9:10" ht="15.75" customHeight="1" x14ac:dyDescent="0.35">
      <c r="I986" s="90"/>
      <c r="J986" s="90"/>
    </row>
    <row r="987" spans="9:10" ht="15.75" customHeight="1" x14ac:dyDescent="0.35">
      <c r="I987" s="90"/>
      <c r="J987" s="90"/>
    </row>
    <row r="988" spans="9:10" ht="15.75" customHeight="1" x14ac:dyDescent="0.35">
      <c r="I988" s="90"/>
      <c r="J988" s="90"/>
    </row>
    <row r="989" spans="9:10" ht="15.75" customHeight="1" x14ac:dyDescent="0.35">
      <c r="I989" s="90"/>
      <c r="J989" s="90"/>
    </row>
    <row r="990" spans="9:10" ht="15.75" customHeight="1" x14ac:dyDescent="0.35">
      <c r="I990" s="90"/>
      <c r="J990" s="90"/>
    </row>
    <row r="991" spans="9:10" ht="15.75" customHeight="1" x14ac:dyDescent="0.35">
      <c r="I991" s="90"/>
      <c r="J991" s="90"/>
    </row>
    <row r="992" spans="9:10" ht="15.75" customHeight="1" x14ac:dyDescent="0.35">
      <c r="I992" s="90"/>
      <c r="J992" s="90"/>
    </row>
    <row r="993" spans="9:10" ht="15.75" customHeight="1" x14ac:dyDescent="0.35">
      <c r="I993" s="90"/>
      <c r="J993" s="90"/>
    </row>
    <row r="994" spans="9:10" ht="15.75" customHeight="1" x14ac:dyDescent="0.35">
      <c r="I994" s="90"/>
      <c r="J994" s="90"/>
    </row>
    <row r="995" spans="9:10" ht="15.75" customHeight="1" x14ac:dyDescent="0.35">
      <c r="I995" s="90"/>
      <c r="J995" s="90"/>
    </row>
    <row r="996" spans="9:10" ht="15.75" customHeight="1" x14ac:dyDescent="0.35">
      <c r="I996" s="90"/>
      <c r="J996" s="90"/>
    </row>
    <row r="997" spans="9:10" ht="15.75" customHeight="1" x14ac:dyDescent="0.35">
      <c r="I997" s="90"/>
      <c r="J997" s="90"/>
    </row>
    <row r="998" spans="9:10" ht="15.75" customHeight="1" x14ac:dyDescent="0.35">
      <c r="I998" s="90"/>
      <c r="J998" s="90"/>
    </row>
    <row r="999" spans="9:10" ht="15.75" customHeight="1" x14ac:dyDescent="0.35">
      <c r="I999" s="90"/>
      <c r="J999" s="90"/>
    </row>
    <row r="1000" spans="9:10" ht="15.75" customHeight="1" x14ac:dyDescent="0.35">
      <c r="I1000" s="90"/>
      <c r="J1000" s="90"/>
    </row>
    <row r="1001" spans="9:10" ht="15.75" customHeight="1" x14ac:dyDescent="0.35">
      <c r="I1001" s="90"/>
      <c r="J1001" s="90"/>
    </row>
    <row r="1002" spans="9:10" ht="15.75" customHeight="1" x14ac:dyDescent="0.35">
      <c r="I1002" s="90"/>
      <c r="J1002" s="90"/>
    </row>
    <row r="1003" spans="9:10" ht="15.75" customHeight="1" x14ac:dyDescent="0.35">
      <c r="I1003" s="90"/>
      <c r="J1003" s="90"/>
    </row>
  </sheetData>
  <mergeCells count="14">
    <mergeCell ref="H69:I69"/>
    <mergeCell ref="J69:J70"/>
    <mergeCell ref="H70:I70"/>
    <mergeCell ref="E3:J3"/>
    <mergeCell ref="M2:M4"/>
    <mergeCell ref="N2:O3"/>
    <mergeCell ref="P2:Q2"/>
    <mergeCell ref="U2:U5"/>
    <mergeCell ref="P3:Q3"/>
    <mergeCell ref="A1:J1"/>
    <mergeCell ref="E2:J2"/>
    <mergeCell ref="A2:A4"/>
    <mergeCell ref="B2:B4"/>
    <mergeCell ref="C2:D3"/>
  </mergeCells>
  <pageMargins left="0.25" right="0.25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1003"/>
  <sheetViews>
    <sheetView workbookViewId="0">
      <pane xSplit="1" topLeftCell="B1" activePane="topRight" state="frozen"/>
      <selection pane="topRight" activeCell="C2" sqref="C2"/>
    </sheetView>
  </sheetViews>
  <sheetFormatPr defaultColWidth="14.453125" defaultRowHeight="15" customHeight="1" x14ac:dyDescent="0.35"/>
  <cols>
    <col min="1" max="1" width="41.26953125" customWidth="1"/>
    <col min="2" max="4" width="22.7265625" customWidth="1"/>
    <col min="5" max="6" width="15.7265625" customWidth="1"/>
    <col min="7" max="7" width="19.81640625" customWidth="1"/>
    <col min="8" max="9" width="17.7265625" customWidth="1"/>
    <col min="10" max="11" width="24.54296875" hidden="1" customWidth="1"/>
    <col min="12" max="15" width="22.7265625" customWidth="1"/>
    <col min="16" max="16" width="17.7265625" customWidth="1"/>
    <col min="17" max="17" width="24.08984375" hidden="1" customWidth="1"/>
    <col min="18" max="18" width="22.08984375" hidden="1" customWidth="1"/>
    <col min="19" max="19" width="8.26953125" customWidth="1"/>
    <col min="20" max="20" width="36.7265625" customWidth="1"/>
    <col min="21" max="31" width="8.7265625" customWidth="1"/>
  </cols>
  <sheetData>
    <row r="1" spans="1:20" ht="26" x14ac:dyDescent="0.6">
      <c r="A1" s="108">
        <v>46308</v>
      </c>
      <c r="B1" s="109"/>
      <c r="C1" s="109"/>
      <c r="D1" s="109"/>
      <c r="E1" s="109"/>
      <c r="F1" s="109"/>
      <c r="G1" s="109"/>
      <c r="H1" s="109"/>
      <c r="I1" s="109"/>
    </row>
    <row r="2" spans="1:20" ht="27" customHeight="1" x14ac:dyDescent="0.6">
      <c r="A2" s="110" t="s">
        <v>0</v>
      </c>
      <c r="B2" s="113" t="s">
        <v>1</v>
      </c>
      <c r="C2" s="116"/>
      <c r="D2" s="117"/>
      <c r="E2" s="119" t="s">
        <v>2</v>
      </c>
      <c r="F2" s="120"/>
      <c r="G2" s="120"/>
      <c r="H2" s="120"/>
      <c r="I2" s="121"/>
      <c r="J2" s="1"/>
      <c r="K2" s="1"/>
      <c r="L2" s="129" t="s">
        <v>1</v>
      </c>
      <c r="M2" s="130"/>
      <c r="N2" s="131"/>
      <c r="O2" s="122" t="s">
        <v>3</v>
      </c>
      <c r="P2" s="121"/>
      <c r="Q2" s="3"/>
      <c r="R2" s="3"/>
      <c r="T2" s="123" t="s">
        <v>4</v>
      </c>
    </row>
    <row r="3" spans="1:20" ht="27" customHeight="1" x14ac:dyDescent="0.6">
      <c r="A3" s="111"/>
      <c r="B3" s="114"/>
      <c r="C3" s="118"/>
      <c r="D3" s="109"/>
      <c r="E3" s="125" t="s">
        <v>5</v>
      </c>
      <c r="F3" s="120"/>
      <c r="G3" s="120"/>
      <c r="H3" s="120"/>
      <c r="I3" s="121"/>
      <c r="J3" s="1"/>
      <c r="K3" s="2"/>
      <c r="L3" s="114"/>
      <c r="M3" s="132"/>
      <c r="N3" s="133"/>
      <c r="O3" s="124" t="s">
        <v>6</v>
      </c>
      <c r="P3" s="121"/>
      <c r="Q3" s="3"/>
      <c r="R3" s="3"/>
      <c r="T3" s="114"/>
    </row>
    <row r="4" spans="1:20" ht="27" customHeight="1" x14ac:dyDescent="0.6">
      <c r="A4" s="112"/>
      <c r="B4" s="115"/>
      <c r="C4" s="4" t="s">
        <v>72</v>
      </c>
      <c r="D4" s="5" t="s">
        <v>8</v>
      </c>
      <c r="E4" s="6" t="s">
        <v>9</v>
      </c>
      <c r="F4" s="6" t="s">
        <v>10</v>
      </c>
      <c r="G4" s="6" t="s">
        <v>11</v>
      </c>
      <c r="H4" s="7" t="s">
        <v>12</v>
      </c>
      <c r="I4" s="8" t="s">
        <v>13</v>
      </c>
      <c r="J4" s="9" t="s">
        <v>14</v>
      </c>
      <c r="K4" s="10" t="s">
        <v>15</v>
      </c>
      <c r="L4" s="115"/>
      <c r="M4" s="11" t="s">
        <v>73</v>
      </c>
      <c r="N4" s="12" t="s">
        <v>17</v>
      </c>
      <c r="O4" s="13" t="s">
        <v>18</v>
      </c>
      <c r="P4" s="94" t="s">
        <v>13</v>
      </c>
      <c r="Q4" s="9" t="s">
        <v>14</v>
      </c>
      <c r="R4" s="10" t="s">
        <v>15</v>
      </c>
      <c r="S4" s="99"/>
      <c r="T4" s="114"/>
    </row>
    <row r="5" spans="1:20" ht="21" x14ac:dyDescent="0.5">
      <c r="A5" s="15" t="s">
        <v>19</v>
      </c>
      <c r="B5" s="16"/>
      <c r="C5" s="17"/>
      <c r="D5" s="18"/>
      <c r="E5" s="19"/>
      <c r="F5" s="19"/>
      <c r="G5" s="19"/>
      <c r="H5" s="20"/>
      <c r="I5" s="20"/>
      <c r="J5" s="21"/>
      <c r="K5" s="21"/>
      <c r="L5" s="22"/>
      <c r="M5" s="23"/>
      <c r="N5" s="24"/>
      <c r="O5" s="25"/>
      <c r="P5" s="25"/>
      <c r="Q5" s="21"/>
      <c r="R5" s="21"/>
      <c r="S5" s="100"/>
      <c r="T5" s="115"/>
    </row>
    <row r="6" spans="1:20" ht="21" x14ac:dyDescent="0.5">
      <c r="A6" s="26" t="s">
        <v>20</v>
      </c>
      <c r="B6" s="95">
        <v>182</v>
      </c>
      <c r="C6" s="28"/>
      <c r="D6" s="29"/>
      <c r="E6" s="42"/>
      <c r="F6" s="42">
        <v>1</v>
      </c>
      <c r="G6" s="42">
        <v>1</v>
      </c>
      <c r="H6" s="31">
        <f t="shared" ref="H6:H13" si="0">SUM(E6:G6)</f>
        <v>2</v>
      </c>
      <c r="I6" s="32">
        <f>168+1+11</f>
        <v>180</v>
      </c>
      <c r="J6" s="33">
        <f>168+13</f>
        <v>181</v>
      </c>
      <c r="K6" s="33">
        <f t="shared" ref="K6:K13" si="1">J6-I6</f>
        <v>1</v>
      </c>
      <c r="L6" s="31">
        <v>0</v>
      </c>
      <c r="M6" s="64"/>
      <c r="N6" s="35"/>
      <c r="O6" s="53"/>
      <c r="P6" s="37">
        <v>0</v>
      </c>
      <c r="Q6" s="33"/>
      <c r="R6" s="33">
        <f t="shared" ref="R6:R13" si="2">Q6-P6</f>
        <v>0</v>
      </c>
      <c r="S6" s="101"/>
      <c r="T6" s="38">
        <f t="shared" ref="T6:T13" si="3">I6+P6</f>
        <v>180</v>
      </c>
    </row>
    <row r="7" spans="1:20" ht="21" x14ac:dyDescent="0.5">
      <c r="A7" s="26" t="s">
        <v>21</v>
      </c>
      <c r="B7" s="95">
        <v>113</v>
      </c>
      <c r="C7" s="28"/>
      <c r="D7" s="29"/>
      <c r="E7" s="42"/>
      <c r="F7" s="42">
        <v>1</v>
      </c>
      <c r="G7" s="42"/>
      <c r="H7" s="31">
        <f t="shared" si="0"/>
        <v>1</v>
      </c>
      <c r="I7" s="32">
        <f>96+7</f>
        <v>103</v>
      </c>
      <c r="J7" s="33">
        <f>96+27</f>
        <v>123</v>
      </c>
      <c r="K7" s="33">
        <f t="shared" si="1"/>
        <v>20</v>
      </c>
      <c r="L7" s="31">
        <v>0</v>
      </c>
      <c r="M7" s="34"/>
      <c r="N7" s="40"/>
      <c r="O7" s="36"/>
      <c r="P7" s="37">
        <v>0</v>
      </c>
      <c r="Q7" s="33"/>
      <c r="R7" s="33">
        <f t="shared" si="2"/>
        <v>0</v>
      </c>
      <c r="S7" s="101"/>
      <c r="T7" s="38">
        <f t="shared" si="3"/>
        <v>103</v>
      </c>
    </row>
    <row r="8" spans="1:20" ht="21" x14ac:dyDescent="0.5">
      <c r="A8" s="26" t="s">
        <v>22</v>
      </c>
      <c r="B8" s="95">
        <v>238</v>
      </c>
      <c r="C8" s="28"/>
      <c r="D8" s="29"/>
      <c r="E8" s="42"/>
      <c r="F8" s="30"/>
      <c r="G8" s="42">
        <v>1</v>
      </c>
      <c r="H8" s="31">
        <f t="shared" si="0"/>
        <v>1</v>
      </c>
      <c r="I8" s="106">
        <f>216+21</f>
        <v>237</v>
      </c>
      <c r="J8" s="33">
        <f>216+22</f>
        <v>238</v>
      </c>
      <c r="K8" s="33">
        <f t="shared" si="1"/>
        <v>1</v>
      </c>
      <c r="L8" s="31">
        <v>0</v>
      </c>
      <c r="M8" s="34"/>
      <c r="N8" s="35"/>
      <c r="O8" s="36"/>
      <c r="P8" s="37">
        <v>0</v>
      </c>
      <c r="Q8" s="33"/>
      <c r="R8" s="33">
        <f t="shared" si="2"/>
        <v>0</v>
      </c>
      <c r="S8" s="101"/>
      <c r="T8" s="38">
        <f t="shared" si="3"/>
        <v>237</v>
      </c>
    </row>
    <row r="9" spans="1:20" ht="21" x14ac:dyDescent="0.5">
      <c r="A9" s="26" t="s">
        <v>23</v>
      </c>
      <c r="B9" s="95">
        <v>551</v>
      </c>
      <c r="C9" s="28"/>
      <c r="D9" s="29"/>
      <c r="E9" s="42"/>
      <c r="F9" s="42">
        <v>1</v>
      </c>
      <c r="G9" s="42"/>
      <c r="H9" s="31">
        <f t="shared" si="0"/>
        <v>1</v>
      </c>
      <c r="I9" s="32">
        <f>528+20</f>
        <v>548</v>
      </c>
      <c r="J9" s="41">
        <f>432+20</f>
        <v>452</v>
      </c>
      <c r="K9" s="33">
        <f t="shared" si="1"/>
        <v>-96</v>
      </c>
      <c r="L9" s="31">
        <v>0</v>
      </c>
      <c r="M9" s="34"/>
      <c r="N9" s="35"/>
      <c r="O9" s="36"/>
      <c r="P9" s="37">
        <v>0</v>
      </c>
      <c r="Q9" s="41"/>
      <c r="R9" s="33">
        <f t="shared" si="2"/>
        <v>0</v>
      </c>
      <c r="S9" s="101"/>
      <c r="T9" s="38">
        <f t="shared" si="3"/>
        <v>548</v>
      </c>
    </row>
    <row r="10" spans="1:20" ht="21" x14ac:dyDescent="0.5">
      <c r="A10" s="26" t="s">
        <v>24</v>
      </c>
      <c r="B10" s="95">
        <v>308</v>
      </c>
      <c r="C10" s="28"/>
      <c r="D10" s="29"/>
      <c r="E10" s="42">
        <v>32</v>
      </c>
      <c r="F10" s="42">
        <v>1</v>
      </c>
      <c r="G10" s="42">
        <v>1</v>
      </c>
      <c r="H10" s="31">
        <f t="shared" si="0"/>
        <v>34</v>
      </c>
      <c r="I10" s="32">
        <f>312+15+1</f>
        <v>328</v>
      </c>
      <c r="J10" s="41">
        <f>360</f>
        <v>360</v>
      </c>
      <c r="K10" s="33">
        <f t="shared" si="1"/>
        <v>32</v>
      </c>
      <c r="L10" s="31">
        <v>0</v>
      </c>
      <c r="M10" s="64"/>
      <c r="N10" s="35"/>
      <c r="O10" s="53"/>
      <c r="P10" s="37">
        <v>0</v>
      </c>
      <c r="Q10" s="41"/>
      <c r="R10" s="33">
        <f t="shared" si="2"/>
        <v>0</v>
      </c>
      <c r="S10" s="101"/>
      <c r="T10" s="38">
        <f t="shared" si="3"/>
        <v>328</v>
      </c>
    </row>
    <row r="11" spans="1:20" ht="21" x14ac:dyDescent="0.5">
      <c r="A11" s="26" t="s">
        <v>25</v>
      </c>
      <c r="B11" s="95">
        <v>264</v>
      </c>
      <c r="C11" s="28"/>
      <c r="D11" s="29"/>
      <c r="E11" s="42"/>
      <c r="F11" s="42">
        <v>1</v>
      </c>
      <c r="G11" s="42">
        <v>1</v>
      </c>
      <c r="H11" s="31">
        <f t="shared" si="0"/>
        <v>2</v>
      </c>
      <c r="I11" s="32">
        <f>432+23</f>
        <v>455</v>
      </c>
      <c r="J11" s="33">
        <f>456</f>
        <v>456</v>
      </c>
      <c r="K11" s="33">
        <f t="shared" si="1"/>
        <v>1</v>
      </c>
      <c r="L11" s="31">
        <v>0</v>
      </c>
      <c r="M11" s="34"/>
      <c r="N11" s="40"/>
      <c r="O11" s="53"/>
      <c r="P11" s="37">
        <v>0</v>
      </c>
      <c r="Q11" s="33"/>
      <c r="R11" s="33">
        <f t="shared" si="2"/>
        <v>0</v>
      </c>
      <c r="S11" s="101"/>
      <c r="T11" s="38">
        <f t="shared" si="3"/>
        <v>455</v>
      </c>
    </row>
    <row r="12" spans="1:20" ht="21" x14ac:dyDescent="0.5">
      <c r="A12" s="26" t="s">
        <v>26</v>
      </c>
      <c r="B12" s="95">
        <v>20</v>
      </c>
      <c r="C12" s="28"/>
      <c r="D12" s="29"/>
      <c r="E12" s="42"/>
      <c r="F12" s="42">
        <v>1</v>
      </c>
      <c r="G12" s="30"/>
      <c r="H12" s="31">
        <f t="shared" si="0"/>
        <v>1</v>
      </c>
      <c r="I12" s="32">
        <f>18+20</f>
        <v>38</v>
      </c>
      <c r="J12" s="41">
        <f>18</f>
        <v>18</v>
      </c>
      <c r="K12" s="33">
        <f t="shared" si="1"/>
        <v>-20</v>
      </c>
      <c r="L12" s="31">
        <v>0</v>
      </c>
      <c r="M12" s="34"/>
      <c r="N12" s="40"/>
      <c r="O12" s="36"/>
      <c r="P12" s="37">
        <v>0</v>
      </c>
      <c r="Q12" s="41"/>
      <c r="R12" s="33">
        <f t="shared" si="2"/>
        <v>0</v>
      </c>
      <c r="S12" s="101"/>
      <c r="T12" s="38">
        <f t="shared" si="3"/>
        <v>38</v>
      </c>
    </row>
    <row r="13" spans="1:20" ht="21" x14ac:dyDescent="0.5">
      <c r="A13" s="26" t="s">
        <v>27</v>
      </c>
      <c r="B13" s="95">
        <v>454</v>
      </c>
      <c r="C13" s="28"/>
      <c r="D13" s="29"/>
      <c r="E13" s="42"/>
      <c r="F13" s="42">
        <v>1</v>
      </c>
      <c r="G13" s="42">
        <v>1</v>
      </c>
      <c r="H13" s="31">
        <f t="shared" si="0"/>
        <v>2</v>
      </c>
      <c r="I13" s="32">
        <f>17+456+9</f>
        <v>482</v>
      </c>
      <c r="J13" s="33">
        <f>456+27</f>
        <v>483</v>
      </c>
      <c r="K13" s="33">
        <f t="shared" si="1"/>
        <v>1</v>
      </c>
      <c r="L13" s="31">
        <v>18</v>
      </c>
      <c r="M13" s="34"/>
      <c r="N13" s="40"/>
      <c r="O13" s="36"/>
      <c r="P13" s="37">
        <v>18</v>
      </c>
      <c r="Q13" s="41">
        <v>17</v>
      </c>
      <c r="R13" s="33">
        <f t="shared" si="2"/>
        <v>-1</v>
      </c>
      <c r="S13" s="101"/>
      <c r="T13" s="38">
        <f t="shared" si="3"/>
        <v>500</v>
      </c>
    </row>
    <row r="14" spans="1:20" ht="21" x14ac:dyDescent="0.5">
      <c r="A14" s="15" t="s">
        <v>28</v>
      </c>
      <c r="B14" s="96"/>
      <c r="C14" s="45"/>
      <c r="D14" s="46"/>
      <c r="E14" s="47"/>
      <c r="F14" s="47"/>
      <c r="G14" s="47"/>
      <c r="H14" s="47"/>
      <c r="I14" s="48"/>
      <c r="J14" s="49"/>
      <c r="K14" s="50"/>
      <c r="L14" s="48"/>
      <c r="M14" s="51"/>
      <c r="N14" s="52"/>
      <c r="O14" s="47"/>
      <c r="P14" s="47"/>
      <c r="Q14" s="49"/>
      <c r="R14" s="50"/>
      <c r="S14" s="50"/>
      <c r="T14" s="47"/>
    </row>
    <row r="15" spans="1:20" ht="21" x14ac:dyDescent="0.5">
      <c r="A15" s="26" t="s">
        <v>29</v>
      </c>
      <c r="B15" s="95">
        <v>143</v>
      </c>
      <c r="C15" s="28"/>
      <c r="D15" s="29"/>
      <c r="E15" s="30"/>
      <c r="F15" s="42">
        <v>1</v>
      </c>
      <c r="G15" s="30"/>
      <c r="H15" s="31">
        <f t="shared" ref="H15:H27" si="4">SUM(E15:G15)</f>
        <v>1</v>
      </c>
      <c r="I15" s="32">
        <f t="shared" ref="I15:J15" si="5">132+2+9</f>
        <v>143</v>
      </c>
      <c r="J15" s="33">
        <f t="shared" si="5"/>
        <v>143</v>
      </c>
      <c r="K15" s="33">
        <f t="shared" ref="K15:K27" si="6">J15-I15</f>
        <v>0</v>
      </c>
      <c r="L15" s="31">
        <v>8</v>
      </c>
      <c r="M15" s="34"/>
      <c r="N15" s="40"/>
      <c r="O15" s="53"/>
      <c r="P15" s="37">
        <v>8</v>
      </c>
      <c r="Q15" s="41">
        <v>8</v>
      </c>
      <c r="R15" s="33">
        <f t="shared" ref="R15:R27" si="7">Q15-P15</f>
        <v>0</v>
      </c>
      <c r="S15" s="101"/>
      <c r="T15" s="38">
        <f t="shared" ref="T15:T27" si="8">I15+P15</f>
        <v>151</v>
      </c>
    </row>
    <row r="16" spans="1:20" ht="21" x14ac:dyDescent="0.5">
      <c r="A16" s="26" t="s">
        <v>30</v>
      </c>
      <c r="B16" s="95">
        <v>665</v>
      </c>
      <c r="C16" s="54">
        <v>240</v>
      </c>
      <c r="D16" s="29"/>
      <c r="E16" s="42">
        <v>6</v>
      </c>
      <c r="F16" s="30"/>
      <c r="G16" s="42"/>
      <c r="H16" s="31">
        <f t="shared" si="4"/>
        <v>6</v>
      </c>
      <c r="I16" s="32">
        <f>192+108+10</f>
        <v>310</v>
      </c>
      <c r="J16" s="33">
        <f>192+5+120+5</f>
        <v>322</v>
      </c>
      <c r="K16" s="33">
        <f t="shared" si="6"/>
        <v>12</v>
      </c>
      <c r="L16" s="31">
        <v>328</v>
      </c>
      <c r="M16" s="64">
        <v>240</v>
      </c>
      <c r="N16" s="35">
        <v>2</v>
      </c>
      <c r="O16" s="53">
        <v>147</v>
      </c>
      <c r="P16" s="37">
        <v>328</v>
      </c>
      <c r="Q16" s="41">
        <f>4+84+23+176+63</f>
        <v>350</v>
      </c>
      <c r="R16" s="33">
        <f t="shared" si="7"/>
        <v>22</v>
      </c>
      <c r="S16" s="101"/>
      <c r="T16" s="38">
        <f t="shared" si="8"/>
        <v>638</v>
      </c>
    </row>
    <row r="17" spans="1:20" ht="21" x14ac:dyDescent="0.5">
      <c r="A17" s="26" t="s">
        <v>31</v>
      </c>
      <c r="B17" s="95">
        <v>117</v>
      </c>
      <c r="C17" s="28"/>
      <c r="D17" s="29"/>
      <c r="E17" s="30"/>
      <c r="F17" s="42"/>
      <c r="G17" s="30"/>
      <c r="H17" s="31">
        <f t="shared" si="4"/>
        <v>0</v>
      </c>
      <c r="I17" s="32">
        <f t="shared" ref="I17:J17" si="9">108+9</f>
        <v>117</v>
      </c>
      <c r="J17" s="33">
        <f t="shared" si="9"/>
        <v>117</v>
      </c>
      <c r="K17" s="33">
        <f t="shared" si="6"/>
        <v>0</v>
      </c>
      <c r="L17" s="31">
        <v>11</v>
      </c>
      <c r="M17" s="34"/>
      <c r="N17" s="40"/>
      <c r="O17" s="36"/>
      <c r="P17" s="37">
        <v>11</v>
      </c>
      <c r="Q17" s="41">
        <f>11</f>
        <v>11</v>
      </c>
      <c r="R17" s="33">
        <f t="shared" si="7"/>
        <v>0</v>
      </c>
      <c r="S17" s="101"/>
      <c r="T17" s="38">
        <f t="shared" si="8"/>
        <v>128</v>
      </c>
    </row>
    <row r="18" spans="1:20" ht="21" x14ac:dyDescent="0.5">
      <c r="A18" s="26" t="s">
        <v>32</v>
      </c>
      <c r="B18" s="95">
        <v>24</v>
      </c>
      <c r="C18" s="28"/>
      <c r="D18" s="29"/>
      <c r="E18" s="30"/>
      <c r="F18" s="30"/>
      <c r="G18" s="30"/>
      <c r="H18" s="31">
        <f t="shared" si="4"/>
        <v>0</v>
      </c>
      <c r="I18" s="32">
        <f t="shared" ref="I18:J18" si="10">24</f>
        <v>24</v>
      </c>
      <c r="J18" s="41">
        <f t="shared" si="10"/>
        <v>24</v>
      </c>
      <c r="K18" s="33">
        <f t="shared" si="6"/>
        <v>0</v>
      </c>
      <c r="L18" s="31">
        <v>99</v>
      </c>
      <c r="M18" s="34"/>
      <c r="N18" s="40"/>
      <c r="O18" s="53"/>
      <c r="P18" s="37">
        <v>99</v>
      </c>
      <c r="Q18" s="41">
        <f>70+70+38+12</f>
        <v>190</v>
      </c>
      <c r="R18" s="33">
        <f t="shared" si="7"/>
        <v>91</v>
      </c>
      <c r="S18" s="101"/>
      <c r="T18" s="38">
        <f t="shared" si="8"/>
        <v>123</v>
      </c>
    </row>
    <row r="19" spans="1:20" ht="21" x14ac:dyDescent="0.5">
      <c r="A19" s="26" t="s">
        <v>33</v>
      </c>
      <c r="B19" s="95">
        <v>277</v>
      </c>
      <c r="C19" s="54"/>
      <c r="D19" s="29"/>
      <c r="E19" s="42">
        <v>6</v>
      </c>
      <c r="F19" s="30"/>
      <c r="G19" s="42"/>
      <c r="H19" s="31">
        <f t="shared" si="4"/>
        <v>6</v>
      </c>
      <c r="I19" s="32">
        <f>274</f>
        <v>274</v>
      </c>
      <c r="J19" s="33">
        <f>240+40</f>
        <v>280</v>
      </c>
      <c r="K19" s="33">
        <f t="shared" si="6"/>
        <v>6</v>
      </c>
      <c r="L19" s="31">
        <v>75</v>
      </c>
      <c r="M19" s="34"/>
      <c r="N19" s="40"/>
      <c r="O19" s="53">
        <v>28</v>
      </c>
      <c r="P19" s="37">
        <v>75</v>
      </c>
      <c r="Q19" s="41">
        <v>10</v>
      </c>
      <c r="R19" s="33">
        <f t="shared" si="7"/>
        <v>-65</v>
      </c>
      <c r="S19" s="101"/>
      <c r="T19" s="38">
        <f t="shared" si="8"/>
        <v>349</v>
      </c>
    </row>
    <row r="20" spans="1:20" ht="21" x14ac:dyDescent="0.5">
      <c r="A20" s="26" t="s">
        <v>34</v>
      </c>
      <c r="B20" s="95">
        <v>546</v>
      </c>
      <c r="C20" s="54"/>
      <c r="D20" s="29"/>
      <c r="E20" s="42"/>
      <c r="F20" s="30"/>
      <c r="G20" s="42"/>
      <c r="H20" s="31">
        <f t="shared" si="4"/>
        <v>0</v>
      </c>
      <c r="I20" s="32">
        <f>120+12+60</f>
        <v>192</v>
      </c>
      <c r="J20" s="33">
        <f>78</f>
        <v>78</v>
      </c>
      <c r="K20" s="33">
        <f t="shared" si="6"/>
        <v>-114</v>
      </c>
      <c r="L20" s="31">
        <v>227</v>
      </c>
      <c r="M20" s="64"/>
      <c r="N20" s="35">
        <v>2</v>
      </c>
      <c r="O20" s="53">
        <v>120</v>
      </c>
      <c r="P20" s="37">
        <v>227</v>
      </c>
      <c r="Q20" s="41">
        <f>141+25</f>
        <v>166</v>
      </c>
      <c r="R20" s="33">
        <f t="shared" si="7"/>
        <v>-61</v>
      </c>
      <c r="S20" s="101"/>
      <c r="T20" s="38">
        <f t="shared" si="8"/>
        <v>419</v>
      </c>
    </row>
    <row r="21" spans="1:20" ht="15.75" customHeight="1" x14ac:dyDescent="0.5">
      <c r="A21" s="26" t="s">
        <v>35</v>
      </c>
      <c r="B21" s="95">
        <v>361</v>
      </c>
      <c r="C21" s="54">
        <v>624</v>
      </c>
      <c r="D21" s="39"/>
      <c r="E21" s="42">
        <v>104</v>
      </c>
      <c r="F21" s="42">
        <v>1</v>
      </c>
      <c r="G21" s="42">
        <v>1</v>
      </c>
      <c r="H21" s="31">
        <f t="shared" si="4"/>
        <v>106</v>
      </c>
      <c r="I21" s="32">
        <f>11+144+156+156+156</f>
        <v>623</v>
      </c>
      <c r="J21" s="33">
        <f>276+7</f>
        <v>283</v>
      </c>
      <c r="K21" s="33">
        <f t="shared" si="6"/>
        <v>-340</v>
      </c>
      <c r="L21" s="107">
        <v>240</v>
      </c>
      <c r="M21" s="64">
        <v>156</v>
      </c>
      <c r="N21" s="35">
        <v>2</v>
      </c>
      <c r="O21" s="53">
        <v>102</v>
      </c>
      <c r="P21" s="37">
        <v>240</v>
      </c>
      <c r="Q21" s="41">
        <v>92</v>
      </c>
      <c r="R21" s="33">
        <f t="shared" si="7"/>
        <v>-148</v>
      </c>
      <c r="S21" s="101"/>
      <c r="T21" s="38">
        <f t="shared" si="8"/>
        <v>863</v>
      </c>
    </row>
    <row r="22" spans="1:20" ht="15.75" customHeight="1" x14ac:dyDescent="0.5">
      <c r="A22" s="26" t="s">
        <v>36</v>
      </c>
      <c r="B22" s="95">
        <v>0</v>
      </c>
      <c r="C22" s="28"/>
      <c r="D22" s="29"/>
      <c r="E22" s="42">
        <v>12</v>
      </c>
      <c r="F22" s="30"/>
      <c r="G22" s="30"/>
      <c r="H22" s="31">
        <f t="shared" si="4"/>
        <v>12</v>
      </c>
      <c r="I22" s="32">
        <f>0</f>
        <v>0</v>
      </c>
      <c r="J22" s="41">
        <v>0</v>
      </c>
      <c r="K22" s="33">
        <f t="shared" si="6"/>
        <v>0</v>
      </c>
      <c r="L22" s="31">
        <v>261</v>
      </c>
      <c r="M22" s="64"/>
      <c r="N22" s="35"/>
      <c r="O22" s="53">
        <v>29</v>
      </c>
      <c r="P22" s="37">
        <v>261</v>
      </c>
      <c r="Q22" s="41">
        <f>196</f>
        <v>196</v>
      </c>
      <c r="R22" s="33">
        <f t="shared" si="7"/>
        <v>-65</v>
      </c>
      <c r="S22" s="101"/>
      <c r="T22" s="38">
        <f t="shared" si="8"/>
        <v>261</v>
      </c>
    </row>
    <row r="23" spans="1:20" ht="15.75" customHeight="1" x14ac:dyDescent="0.5">
      <c r="A23" s="26" t="s">
        <v>24</v>
      </c>
      <c r="B23" s="95">
        <v>798</v>
      </c>
      <c r="C23" s="54">
        <v>310</v>
      </c>
      <c r="D23" s="29"/>
      <c r="E23" s="42">
        <v>57</v>
      </c>
      <c r="F23" s="42"/>
      <c r="G23" s="42">
        <v>1</v>
      </c>
      <c r="H23" s="31">
        <f t="shared" si="4"/>
        <v>58</v>
      </c>
      <c r="I23" s="32">
        <f>183+624+4</f>
        <v>811</v>
      </c>
      <c r="J23" s="33">
        <f>180+3+684+1</f>
        <v>868</v>
      </c>
      <c r="K23" s="33">
        <f t="shared" si="6"/>
        <v>57</v>
      </c>
      <c r="L23" s="31">
        <v>132</v>
      </c>
      <c r="M23" s="64">
        <v>310</v>
      </c>
      <c r="N23" s="35"/>
      <c r="O23" s="53">
        <v>55</v>
      </c>
      <c r="P23" s="37">
        <v>132</v>
      </c>
      <c r="Q23" s="41">
        <f>210+86</f>
        <v>296</v>
      </c>
      <c r="R23" s="33">
        <f t="shared" si="7"/>
        <v>164</v>
      </c>
      <c r="S23" s="101"/>
      <c r="T23" s="38">
        <f t="shared" si="8"/>
        <v>943</v>
      </c>
    </row>
    <row r="24" spans="1:20" ht="15.75" customHeight="1" x14ac:dyDescent="0.5">
      <c r="A24" s="26" t="s">
        <v>37</v>
      </c>
      <c r="B24" s="95">
        <v>196</v>
      </c>
      <c r="C24" s="54"/>
      <c r="D24" s="29"/>
      <c r="E24" s="42">
        <v>6</v>
      </c>
      <c r="F24" s="42">
        <v>1</v>
      </c>
      <c r="G24" s="42"/>
      <c r="H24" s="31">
        <f t="shared" si="4"/>
        <v>7</v>
      </c>
      <c r="I24" s="32">
        <f>8</f>
        <v>8</v>
      </c>
      <c r="J24" s="41">
        <f>242</f>
        <v>242</v>
      </c>
      <c r="K24" s="33">
        <f t="shared" si="6"/>
        <v>234</v>
      </c>
      <c r="L24" s="31">
        <v>91</v>
      </c>
      <c r="M24" s="34"/>
      <c r="N24" s="40"/>
      <c r="O24" s="53">
        <v>26</v>
      </c>
      <c r="P24" s="37">
        <v>91</v>
      </c>
      <c r="Q24" s="41">
        <f>1</f>
        <v>1</v>
      </c>
      <c r="R24" s="33">
        <f t="shared" si="7"/>
        <v>-90</v>
      </c>
      <c r="S24" s="101"/>
      <c r="T24" s="38">
        <f t="shared" si="8"/>
        <v>99</v>
      </c>
    </row>
    <row r="25" spans="1:20" ht="15.75" customHeight="1" x14ac:dyDescent="0.5">
      <c r="A25" s="26" t="s">
        <v>38</v>
      </c>
      <c r="B25" s="95">
        <v>48</v>
      </c>
      <c r="C25" s="28"/>
      <c r="D25" s="29"/>
      <c r="E25" s="30"/>
      <c r="F25" s="30"/>
      <c r="G25" s="30"/>
      <c r="H25" s="31">
        <f t="shared" si="4"/>
        <v>0</v>
      </c>
      <c r="I25" s="32">
        <f>52</f>
        <v>52</v>
      </c>
      <c r="J25" s="41">
        <f>48</f>
        <v>48</v>
      </c>
      <c r="K25" s="33">
        <f t="shared" si="6"/>
        <v>-4</v>
      </c>
      <c r="L25" s="31">
        <v>265</v>
      </c>
      <c r="M25" s="34"/>
      <c r="N25" s="40"/>
      <c r="O25" s="53"/>
      <c r="P25" s="37">
        <v>265</v>
      </c>
      <c r="Q25" s="41">
        <v>163</v>
      </c>
      <c r="R25" s="33">
        <f t="shared" si="7"/>
        <v>-102</v>
      </c>
      <c r="S25" s="101"/>
      <c r="T25" s="38">
        <f t="shared" si="8"/>
        <v>317</v>
      </c>
    </row>
    <row r="26" spans="1:20" ht="15.75" customHeight="1" x14ac:dyDescent="0.5">
      <c r="A26" s="26" t="s">
        <v>39</v>
      </c>
      <c r="B26" s="95">
        <v>230</v>
      </c>
      <c r="C26" s="54"/>
      <c r="D26" s="29"/>
      <c r="E26" s="42">
        <v>6</v>
      </c>
      <c r="F26" s="42">
        <v>1</v>
      </c>
      <c r="G26" s="42"/>
      <c r="H26" s="31">
        <f t="shared" si="4"/>
        <v>7</v>
      </c>
      <c r="I26" s="32">
        <f>16+156</f>
        <v>172</v>
      </c>
      <c r="J26" s="41">
        <f>100+78</f>
        <v>178</v>
      </c>
      <c r="K26" s="33">
        <f t="shared" si="6"/>
        <v>6</v>
      </c>
      <c r="L26" s="31">
        <v>156</v>
      </c>
      <c r="M26" s="64">
        <v>78</v>
      </c>
      <c r="N26" s="40"/>
      <c r="O26" s="53"/>
      <c r="P26" s="37">
        <v>156</v>
      </c>
      <c r="Q26" s="41">
        <f>77+42</f>
        <v>119</v>
      </c>
      <c r="R26" s="33">
        <f t="shared" si="7"/>
        <v>-37</v>
      </c>
      <c r="S26" s="101"/>
      <c r="T26" s="38">
        <f t="shared" si="8"/>
        <v>328</v>
      </c>
    </row>
    <row r="27" spans="1:20" ht="15.75" customHeight="1" x14ac:dyDescent="0.5">
      <c r="A27" s="26" t="s">
        <v>40</v>
      </c>
      <c r="B27" s="95">
        <v>43</v>
      </c>
      <c r="C27" s="28"/>
      <c r="D27" s="29"/>
      <c r="E27" s="42">
        <v>12</v>
      </c>
      <c r="F27" s="30"/>
      <c r="G27" s="42"/>
      <c r="H27" s="31">
        <f t="shared" si="4"/>
        <v>12</v>
      </c>
      <c r="I27" s="32">
        <f>114</f>
        <v>114</v>
      </c>
      <c r="J27" s="41">
        <f>103</f>
        <v>103</v>
      </c>
      <c r="K27" s="33">
        <f t="shared" si="6"/>
        <v>-11</v>
      </c>
      <c r="L27" s="31">
        <v>-61</v>
      </c>
      <c r="M27" s="34"/>
      <c r="N27" s="35"/>
      <c r="O27" s="53">
        <v>48</v>
      </c>
      <c r="P27" s="37">
        <v>-61</v>
      </c>
      <c r="Q27" s="41">
        <v>255</v>
      </c>
      <c r="R27" s="33">
        <f t="shared" si="7"/>
        <v>316</v>
      </c>
      <c r="S27" s="101"/>
      <c r="T27" s="38">
        <f t="shared" si="8"/>
        <v>53</v>
      </c>
    </row>
    <row r="28" spans="1:20" ht="15.75" customHeight="1" x14ac:dyDescent="0.5">
      <c r="A28" s="15" t="s">
        <v>41</v>
      </c>
      <c r="B28" s="62"/>
      <c r="C28" s="57"/>
      <c r="D28" s="58"/>
      <c r="E28" s="59"/>
      <c r="F28" s="59"/>
      <c r="G28" s="59"/>
      <c r="H28" s="59"/>
      <c r="I28" s="21"/>
      <c r="J28" s="49"/>
      <c r="K28" s="49"/>
      <c r="L28" s="21"/>
      <c r="M28" s="60"/>
      <c r="N28" s="61"/>
      <c r="O28" s="59"/>
      <c r="P28" s="59"/>
      <c r="Q28" s="49"/>
      <c r="R28" s="49"/>
      <c r="S28" s="49"/>
      <c r="T28" s="47"/>
    </row>
    <row r="29" spans="1:20" ht="15.75" customHeight="1" x14ac:dyDescent="0.5">
      <c r="A29" s="26" t="s">
        <v>20</v>
      </c>
      <c r="B29" s="95">
        <v>120</v>
      </c>
      <c r="C29" s="28"/>
      <c r="D29" s="29"/>
      <c r="E29" s="30"/>
      <c r="F29" s="30"/>
      <c r="G29" s="30"/>
      <c r="H29" s="31">
        <f t="shared" ref="H29:H35" si="11">SUM(E29:G29)</f>
        <v>0</v>
      </c>
      <c r="I29" s="32">
        <f>120</f>
        <v>120</v>
      </c>
      <c r="J29" s="41">
        <v>120</v>
      </c>
      <c r="K29" s="33">
        <f t="shared" ref="K29:K35" si="12">J29-I29</f>
        <v>0</v>
      </c>
      <c r="L29" s="31">
        <v>0</v>
      </c>
      <c r="M29" s="34"/>
      <c r="N29" s="40"/>
      <c r="O29" s="36"/>
      <c r="P29" s="37">
        <v>0</v>
      </c>
      <c r="Q29" s="41">
        <v>0</v>
      </c>
      <c r="R29" s="33">
        <f t="shared" ref="R29:R35" si="13">Q29-P29</f>
        <v>0</v>
      </c>
      <c r="S29" s="101"/>
      <c r="T29" s="38">
        <f t="shared" ref="T29:T35" si="14">I29+P29</f>
        <v>120</v>
      </c>
    </row>
    <row r="30" spans="1:20" ht="15.75" customHeight="1" x14ac:dyDescent="0.5">
      <c r="A30" s="26" t="s">
        <v>21</v>
      </c>
      <c r="B30" s="95">
        <v>0</v>
      </c>
      <c r="C30" s="28"/>
      <c r="D30" s="29"/>
      <c r="E30" s="30"/>
      <c r="F30" s="30"/>
      <c r="G30" s="30"/>
      <c r="H30" s="31">
        <f t="shared" si="11"/>
        <v>0</v>
      </c>
      <c r="I30" s="32">
        <f t="shared" ref="I30:I32" si="15">B30-H30+C30+D30</f>
        <v>0</v>
      </c>
      <c r="J30" s="33"/>
      <c r="K30" s="33">
        <f t="shared" si="12"/>
        <v>0</v>
      </c>
      <c r="L30" s="31">
        <v>0</v>
      </c>
      <c r="M30" s="34"/>
      <c r="N30" s="40"/>
      <c r="O30" s="36"/>
      <c r="P30" s="37">
        <v>0</v>
      </c>
      <c r="Q30" s="41">
        <v>0</v>
      </c>
      <c r="R30" s="33">
        <f t="shared" si="13"/>
        <v>0</v>
      </c>
      <c r="S30" s="101"/>
      <c r="T30" s="38">
        <f t="shared" si="14"/>
        <v>0</v>
      </c>
    </row>
    <row r="31" spans="1:20" ht="15.75" customHeight="1" x14ac:dyDescent="0.5">
      <c r="A31" s="26" t="s">
        <v>42</v>
      </c>
      <c r="B31" s="95">
        <v>0</v>
      </c>
      <c r="C31" s="28"/>
      <c r="D31" s="29"/>
      <c r="E31" s="30"/>
      <c r="F31" s="30"/>
      <c r="G31" s="30"/>
      <c r="H31" s="31">
        <f t="shared" si="11"/>
        <v>0</v>
      </c>
      <c r="I31" s="32">
        <f t="shared" si="15"/>
        <v>0</v>
      </c>
      <c r="J31" s="33"/>
      <c r="K31" s="33">
        <f t="shared" si="12"/>
        <v>0</v>
      </c>
      <c r="L31" s="31">
        <v>0</v>
      </c>
      <c r="M31" s="34"/>
      <c r="N31" s="40"/>
      <c r="O31" s="36"/>
      <c r="P31" s="37">
        <v>0</v>
      </c>
      <c r="Q31" s="41">
        <v>0</v>
      </c>
      <c r="R31" s="33">
        <f t="shared" si="13"/>
        <v>0</v>
      </c>
      <c r="S31" s="101"/>
      <c r="T31" s="38">
        <f t="shared" si="14"/>
        <v>0</v>
      </c>
    </row>
    <row r="32" spans="1:20" ht="15.75" customHeight="1" x14ac:dyDescent="0.5">
      <c r="A32" s="26" t="s">
        <v>22</v>
      </c>
      <c r="B32" s="95">
        <v>-5</v>
      </c>
      <c r="C32" s="28"/>
      <c r="D32" s="29"/>
      <c r="E32" s="30"/>
      <c r="F32" s="30"/>
      <c r="G32" s="30"/>
      <c r="H32" s="31">
        <f t="shared" si="11"/>
        <v>0</v>
      </c>
      <c r="I32" s="32">
        <f t="shared" si="15"/>
        <v>-5</v>
      </c>
      <c r="J32" s="33"/>
      <c r="K32" s="33">
        <f t="shared" si="12"/>
        <v>5</v>
      </c>
      <c r="L32" s="31">
        <v>0</v>
      </c>
      <c r="M32" s="34"/>
      <c r="N32" s="40"/>
      <c r="O32" s="36"/>
      <c r="P32" s="37">
        <v>0</v>
      </c>
      <c r="Q32" s="41">
        <v>0</v>
      </c>
      <c r="R32" s="33">
        <f t="shared" si="13"/>
        <v>0</v>
      </c>
      <c r="S32" s="101"/>
      <c r="T32" s="38">
        <f t="shared" si="14"/>
        <v>-5</v>
      </c>
    </row>
    <row r="33" spans="1:20" ht="15.75" customHeight="1" x14ac:dyDescent="0.5">
      <c r="A33" s="26" t="s">
        <v>23</v>
      </c>
      <c r="B33" s="95">
        <v>289</v>
      </c>
      <c r="C33" s="28"/>
      <c r="D33" s="29"/>
      <c r="E33" s="42"/>
      <c r="F33" s="30"/>
      <c r="G33" s="30"/>
      <c r="H33" s="31">
        <f t="shared" si="11"/>
        <v>0</v>
      </c>
      <c r="I33" s="106">
        <v>301</v>
      </c>
      <c r="J33" s="41">
        <v>301</v>
      </c>
      <c r="K33" s="33">
        <f t="shared" si="12"/>
        <v>0</v>
      </c>
      <c r="L33" s="31">
        <v>7</v>
      </c>
      <c r="M33" s="34"/>
      <c r="N33" s="35"/>
      <c r="O33" s="53"/>
      <c r="P33" s="37">
        <v>7</v>
      </c>
      <c r="Q33" s="41">
        <v>6</v>
      </c>
      <c r="R33" s="33">
        <f t="shared" si="13"/>
        <v>-1</v>
      </c>
      <c r="S33" s="101"/>
      <c r="T33" s="38">
        <f t="shared" si="14"/>
        <v>308</v>
      </c>
    </row>
    <row r="34" spans="1:20" ht="15.75" customHeight="1" x14ac:dyDescent="0.5">
      <c r="A34" s="26" t="s">
        <v>25</v>
      </c>
      <c r="B34" s="95">
        <v>-1</v>
      </c>
      <c r="C34" s="28"/>
      <c r="D34" s="39"/>
      <c r="E34" s="42">
        <v>27</v>
      </c>
      <c r="F34" s="42"/>
      <c r="G34" s="30"/>
      <c r="H34" s="31">
        <f t="shared" si="11"/>
        <v>27</v>
      </c>
      <c r="I34" s="32">
        <f>132+11</f>
        <v>143</v>
      </c>
      <c r="J34" s="33">
        <f>12+156+6</f>
        <v>174</v>
      </c>
      <c r="K34" s="33">
        <f t="shared" si="12"/>
        <v>31</v>
      </c>
      <c r="L34" s="31">
        <v>110</v>
      </c>
      <c r="M34" s="64"/>
      <c r="N34" s="35"/>
      <c r="O34" s="53">
        <v>28</v>
      </c>
      <c r="P34" s="37">
        <v>110</v>
      </c>
      <c r="Q34" s="41">
        <f>28+29</f>
        <v>57</v>
      </c>
      <c r="R34" s="33">
        <f t="shared" si="13"/>
        <v>-53</v>
      </c>
      <c r="S34" s="101"/>
      <c r="T34" s="38">
        <f t="shared" si="14"/>
        <v>253</v>
      </c>
    </row>
    <row r="35" spans="1:20" ht="15.75" customHeight="1" x14ac:dyDescent="0.5">
      <c r="A35" s="26" t="s">
        <v>26</v>
      </c>
      <c r="B35" s="95">
        <v>31</v>
      </c>
      <c r="C35" s="54">
        <v>36</v>
      </c>
      <c r="D35" s="29"/>
      <c r="E35" s="42"/>
      <c r="F35" s="30"/>
      <c r="G35" s="30"/>
      <c r="H35" s="31">
        <f t="shared" si="11"/>
        <v>0</v>
      </c>
      <c r="I35" s="106">
        <v>54</v>
      </c>
      <c r="J35" s="33">
        <f>48+6</f>
        <v>54</v>
      </c>
      <c r="K35" s="33">
        <f t="shared" si="12"/>
        <v>0</v>
      </c>
      <c r="L35" s="31">
        <v>-4</v>
      </c>
      <c r="M35" s="34"/>
      <c r="N35" s="40"/>
      <c r="O35" s="53">
        <v>1</v>
      </c>
      <c r="P35" s="37">
        <v>-4</v>
      </c>
      <c r="Q35" s="41">
        <v>0</v>
      </c>
      <c r="R35" s="33">
        <f t="shared" si="13"/>
        <v>4</v>
      </c>
      <c r="S35" s="101"/>
      <c r="T35" s="38">
        <f t="shared" si="14"/>
        <v>50</v>
      </c>
    </row>
    <row r="36" spans="1:20" ht="15.75" customHeight="1" x14ac:dyDescent="0.5">
      <c r="A36" s="15" t="s">
        <v>43</v>
      </c>
      <c r="B36" s="62"/>
      <c r="C36" s="57"/>
      <c r="D36" s="58"/>
      <c r="E36" s="59"/>
      <c r="F36" s="59"/>
      <c r="G36" s="59"/>
      <c r="H36" s="59"/>
      <c r="I36" s="21"/>
      <c r="J36" s="49"/>
      <c r="K36" s="49"/>
      <c r="L36" s="21"/>
      <c r="M36" s="60"/>
      <c r="N36" s="61"/>
      <c r="O36" s="59"/>
      <c r="P36" s="59"/>
      <c r="Q36" s="49"/>
      <c r="R36" s="49"/>
      <c r="S36" s="49"/>
      <c r="T36" s="47"/>
    </row>
    <row r="37" spans="1:20" ht="15.75" customHeight="1" x14ac:dyDescent="0.5">
      <c r="A37" s="26" t="s">
        <v>29</v>
      </c>
      <c r="B37" s="95">
        <v>276</v>
      </c>
      <c r="C37" s="55">
        <v>420</v>
      </c>
      <c r="D37" s="39"/>
      <c r="E37" s="42"/>
      <c r="F37" s="42">
        <v>225</v>
      </c>
      <c r="G37" s="42"/>
      <c r="H37" s="31">
        <f t="shared" ref="H37:H51" si="16">SUM(E37:G37)</f>
        <v>225</v>
      </c>
      <c r="I37" s="32">
        <f>120+72+19+48+1</f>
        <v>260</v>
      </c>
      <c r="J37" s="33">
        <f>96+79+96+4+96+23</f>
        <v>394</v>
      </c>
      <c r="K37" s="33">
        <f t="shared" ref="K37:K51" si="17">J37-I37</f>
        <v>134</v>
      </c>
      <c r="L37" s="31">
        <v>138</v>
      </c>
      <c r="M37" s="64">
        <v>212</v>
      </c>
      <c r="N37" s="35"/>
      <c r="O37" s="53">
        <v>37</v>
      </c>
      <c r="P37" s="37">
        <v>138</v>
      </c>
      <c r="Q37" s="41">
        <f>120+72+9</f>
        <v>201</v>
      </c>
      <c r="R37" s="33">
        <f t="shared" ref="R37:R51" si="18">Q37-P37</f>
        <v>63</v>
      </c>
      <c r="S37" s="101"/>
      <c r="T37" s="38">
        <f t="shared" ref="T37:T51" si="19">I37+P37</f>
        <v>398</v>
      </c>
    </row>
    <row r="38" spans="1:20" ht="15.75" customHeight="1" x14ac:dyDescent="0.5">
      <c r="A38" s="26" t="s">
        <v>44</v>
      </c>
      <c r="B38" s="95">
        <v>155</v>
      </c>
      <c r="C38" s="55"/>
      <c r="D38" s="29"/>
      <c r="E38" s="42"/>
      <c r="F38" s="42">
        <v>40</v>
      </c>
      <c r="G38" s="30"/>
      <c r="H38" s="31">
        <f t="shared" si="16"/>
        <v>40</v>
      </c>
      <c r="I38" s="106">
        <f>48+22+96+4</f>
        <v>170</v>
      </c>
      <c r="J38" s="33">
        <f>24+14+72</f>
        <v>110</v>
      </c>
      <c r="K38" s="33">
        <f t="shared" si="17"/>
        <v>-60</v>
      </c>
      <c r="L38" s="31">
        <v>91</v>
      </c>
      <c r="M38" s="64"/>
      <c r="N38" s="40"/>
      <c r="O38" s="53">
        <v>2</v>
      </c>
      <c r="P38" s="37">
        <v>91</v>
      </c>
      <c r="Q38" s="41">
        <f>96+12</f>
        <v>108</v>
      </c>
      <c r="R38" s="33">
        <f t="shared" si="18"/>
        <v>17</v>
      </c>
      <c r="S38" s="101"/>
      <c r="T38" s="38">
        <f t="shared" si="19"/>
        <v>261</v>
      </c>
    </row>
    <row r="39" spans="1:20" ht="15.75" customHeight="1" x14ac:dyDescent="0.5">
      <c r="A39" s="26" t="s">
        <v>30</v>
      </c>
      <c r="B39" s="95">
        <v>1696</v>
      </c>
      <c r="C39" s="55">
        <v>133</v>
      </c>
      <c r="D39" s="29"/>
      <c r="E39" s="42">
        <v>52</v>
      </c>
      <c r="F39" s="42">
        <v>30</v>
      </c>
      <c r="G39" s="42"/>
      <c r="H39" s="31">
        <f t="shared" si="16"/>
        <v>82</v>
      </c>
      <c r="I39" s="32">
        <f>123+480+240+128+288+120</f>
        <v>1379</v>
      </c>
      <c r="J39" s="33">
        <f>480+132+240+3+312+96+11+120+17+188</f>
        <v>1599</v>
      </c>
      <c r="K39" s="33">
        <f t="shared" si="17"/>
        <v>220</v>
      </c>
      <c r="L39" s="31">
        <v>82</v>
      </c>
      <c r="M39" s="64">
        <v>133</v>
      </c>
      <c r="N39" s="35"/>
      <c r="O39" s="53">
        <v>117</v>
      </c>
      <c r="P39" s="37">
        <v>82</v>
      </c>
      <c r="Q39" s="41">
        <f>106</f>
        <v>106</v>
      </c>
      <c r="R39" s="33">
        <f t="shared" si="18"/>
        <v>24</v>
      </c>
      <c r="S39" s="101"/>
      <c r="T39" s="38">
        <f t="shared" si="19"/>
        <v>1461</v>
      </c>
    </row>
    <row r="40" spans="1:20" ht="15.75" customHeight="1" x14ac:dyDescent="0.5">
      <c r="A40" s="26" t="s">
        <v>31</v>
      </c>
      <c r="B40" s="95">
        <v>243</v>
      </c>
      <c r="C40" s="63"/>
      <c r="D40" s="29"/>
      <c r="E40" s="30"/>
      <c r="F40" s="42"/>
      <c r="G40" s="30"/>
      <c r="H40" s="31">
        <f t="shared" si="16"/>
        <v>0</v>
      </c>
      <c r="I40" s="32">
        <f>92+121</f>
        <v>213</v>
      </c>
      <c r="J40" s="33">
        <f>120+72+21</f>
        <v>213</v>
      </c>
      <c r="K40" s="33">
        <f t="shared" si="17"/>
        <v>0</v>
      </c>
      <c r="L40" s="31">
        <v>42</v>
      </c>
      <c r="M40" s="34"/>
      <c r="N40" s="35"/>
      <c r="O40" s="53">
        <v>5</v>
      </c>
      <c r="P40" s="37">
        <v>42</v>
      </c>
      <c r="Q40" s="41">
        <f>81</f>
        <v>81</v>
      </c>
      <c r="R40" s="33">
        <f t="shared" si="18"/>
        <v>39</v>
      </c>
      <c r="S40" s="101"/>
      <c r="T40" s="38">
        <f t="shared" si="19"/>
        <v>255</v>
      </c>
    </row>
    <row r="41" spans="1:20" ht="15.75" customHeight="1" x14ac:dyDescent="0.5">
      <c r="A41" s="26" t="s">
        <v>32</v>
      </c>
      <c r="B41" s="95">
        <v>262</v>
      </c>
      <c r="C41" s="55"/>
      <c r="D41" s="29"/>
      <c r="E41" s="42">
        <v>8</v>
      </c>
      <c r="F41" s="30"/>
      <c r="G41" s="30"/>
      <c r="H41" s="31">
        <f t="shared" si="16"/>
        <v>8</v>
      </c>
      <c r="I41" s="32">
        <f>96</f>
        <v>96</v>
      </c>
      <c r="J41" s="33">
        <f>104</f>
        <v>104</v>
      </c>
      <c r="K41" s="33">
        <f t="shared" si="17"/>
        <v>8</v>
      </c>
      <c r="L41" s="31">
        <v>63</v>
      </c>
      <c r="M41" s="34"/>
      <c r="N41" s="40"/>
      <c r="O41" s="53">
        <v>20</v>
      </c>
      <c r="P41" s="37">
        <v>63</v>
      </c>
      <c r="Q41" s="41">
        <f>24+17+121</f>
        <v>162</v>
      </c>
      <c r="R41" s="33">
        <f t="shared" si="18"/>
        <v>99</v>
      </c>
      <c r="S41" s="101"/>
      <c r="T41" s="38">
        <f t="shared" si="19"/>
        <v>159</v>
      </c>
    </row>
    <row r="42" spans="1:20" ht="15.75" customHeight="1" x14ac:dyDescent="0.5">
      <c r="A42" s="26" t="s">
        <v>33</v>
      </c>
      <c r="B42" s="95">
        <v>523</v>
      </c>
      <c r="C42" s="55"/>
      <c r="D42" s="29"/>
      <c r="E42" s="42">
        <v>16</v>
      </c>
      <c r="F42" s="42">
        <v>2</v>
      </c>
      <c r="G42" s="42"/>
      <c r="H42" s="31">
        <f t="shared" si="16"/>
        <v>18</v>
      </c>
      <c r="I42" s="32">
        <f>240+97</f>
        <v>337</v>
      </c>
      <c r="J42" s="33">
        <f>127+120+96+8</f>
        <v>351</v>
      </c>
      <c r="K42" s="33">
        <f t="shared" si="17"/>
        <v>14</v>
      </c>
      <c r="L42" s="31">
        <v>67</v>
      </c>
      <c r="M42" s="34"/>
      <c r="N42" s="35"/>
      <c r="O42" s="53">
        <v>50</v>
      </c>
      <c r="P42" s="37">
        <v>67</v>
      </c>
      <c r="Q42" s="41">
        <f>96+48+20</f>
        <v>164</v>
      </c>
      <c r="R42" s="33">
        <f t="shared" si="18"/>
        <v>97</v>
      </c>
      <c r="S42" s="101"/>
      <c r="T42" s="38">
        <f t="shared" si="19"/>
        <v>404</v>
      </c>
    </row>
    <row r="43" spans="1:20" ht="15.75" customHeight="1" x14ac:dyDescent="0.5">
      <c r="A43" s="26" t="s">
        <v>34</v>
      </c>
      <c r="B43" s="95">
        <v>320</v>
      </c>
      <c r="C43" s="55">
        <v>423</v>
      </c>
      <c r="D43" s="29"/>
      <c r="E43" s="42">
        <v>8</v>
      </c>
      <c r="F43" s="42"/>
      <c r="G43" s="42"/>
      <c r="H43" s="31">
        <f t="shared" si="16"/>
        <v>8</v>
      </c>
      <c r="I43" s="32">
        <f>24+18+96+6+72+18+120</f>
        <v>354</v>
      </c>
      <c r="J43" s="33">
        <f>50+96+6</f>
        <v>152</v>
      </c>
      <c r="K43" s="33">
        <f t="shared" si="17"/>
        <v>-202</v>
      </c>
      <c r="L43" s="31">
        <v>198</v>
      </c>
      <c r="M43" s="64">
        <v>213</v>
      </c>
      <c r="N43" s="35"/>
      <c r="O43" s="53">
        <v>98</v>
      </c>
      <c r="P43" s="37">
        <v>198</v>
      </c>
      <c r="Q43" s="41">
        <f>48+13+240</f>
        <v>301</v>
      </c>
      <c r="R43" s="33">
        <f t="shared" si="18"/>
        <v>103</v>
      </c>
      <c r="S43" s="101"/>
      <c r="T43" s="38">
        <f t="shared" si="19"/>
        <v>552</v>
      </c>
    </row>
    <row r="44" spans="1:20" ht="15.75" customHeight="1" x14ac:dyDescent="0.5">
      <c r="A44" s="26" t="s">
        <v>23</v>
      </c>
      <c r="B44" s="95">
        <v>184</v>
      </c>
      <c r="C44" s="55">
        <v>211</v>
      </c>
      <c r="D44" s="29"/>
      <c r="E44" s="30"/>
      <c r="F44" s="30"/>
      <c r="G44" s="30"/>
      <c r="H44" s="31">
        <f t="shared" si="16"/>
        <v>0</v>
      </c>
      <c r="I44" s="32">
        <f>96+22+72+5</f>
        <v>195</v>
      </c>
      <c r="J44" s="33">
        <f>120+72+5</f>
        <v>197</v>
      </c>
      <c r="K44" s="33">
        <f t="shared" si="17"/>
        <v>2</v>
      </c>
      <c r="L44" s="31">
        <v>70</v>
      </c>
      <c r="M44" s="64">
        <v>211</v>
      </c>
      <c r="N44" s="35"/>
      <c r="O44" s="53">
        <v>26</v>
      </c>
      <c r="P44" s="37">
        <v>70</v>
      </c>
      <c r="Q44" s="41">
        <f>72+12+132</f>
        <v>216</v>
      </c>
      <c r="R44" s="33">
        <f t="shared" si="18"/>
        <v>146</v>
      </c>
      <c r="S44" s="101"/>
      <c r="T44" s="38">
        <f t="shared" si="19"/>
        <v>265</v>
      </c>
    </row>
    <row r="45" spans="1:20" ht="15.75" customHeight="1" x14ac:dyDescent="0.5">
      <c r="A45" s="26" t="s">
        <v>35</v>
      </c>
      <c r="B45" s="95">
        <v>1202</v>
      </c>
      <c r="C45" s="55">
        <v>490</v>
      </c>
      <c r="D45" s="39"/>
      <c r="E45" s="42">
        <v>103</v>
      </c>
      <c r="F45" s="42">
        <v>200</v>
      </c>
      <c r="G45" s="42"/>
      <c r="H45" s="31">
        <f t="shared" si="16"/>
        <v>303</v>
      </c>
      <c r="I45" s="32">
        <f>304+1+168+60+196+4+119+245</f>
        <v>1097</v>
      </c>
      <c r="J45" s="33">
        <f>132+80+496+300</f>
        <v>1008</v>
      </c>
      <c r="K45" s="33">
        <f t="shared" si="17"/>
        <v>-89</v>
      </c>
      <c r="L45" s="31">
        <v>314</v>
      </c>
      <c r="M45" s="64"/>
      <c r="N45" s="35"/>
      <c r="O45" s="53">
        <v>103</v>
      </c>
      <c r="P45" s="37">
        <v>314</v>
      </c>
      <c r="Q45" s="41">
        <f>102+20+50</f>
        <v>172</v>
      </c>
      <c r="R45" s="33">
        <f t="shared" si="18"/>
        <v>-142</v>
      </c>
      <c r="S45" s="101"/>
      <c r="T45" s="38">
        <f t="shared" si="19"/>
        <v>1411</v>
      </c>
    </row>
    <row r="46" spans="1:20" ht="15.75" customHeight="1" x14ac:dyDescent="0.5">
      <c r="A46" s="26" t="s">
        <v>36</v>
      </c>
      <c r="B46" s="95">
        <v>146</v>
      </c>
      <c r="C46" s="55"/>
      <c r="D46" s="29"/>
      <c r="E46" s="30"/>
      <c r="F46" s="42"/>
      <c r="G46" s="42"/>
      <c r="H46" s="31">
        <f t="shared" si="16"/>
        <v>0</v>
      </c>
      <c r="I46" s="32">
        <f>146</f>
        <v>146</v>
      </c>
      <c r="J46" s="41">
        <f>96+48+2</f>
        <v>146</v>
      </c>
      <c r="K46" s="33">
        <f t="shared" si="17"/>
        <v>0</v>
      </c>
      <c r="L46" s="31">
        <v>63</v>
      </c>
      <c r="M46" s="34"/>
      <c r="N46" s="40"/>
      <c r="O46" s="53">
        <v>6</v>
      </c>
      <c r="P46" s="37">
        <v>63</v>
      </c>
      <c r="Q46" s="41">
        <f>50</f>
        <v>50</v>
      </c>
      <c r="R46" s="33">
        <f t="shared" si="18"/>
        <v>-13</v>
      </c>
      <c r="S46" s="101"/>
      <c r="T46" s="38">
        <f t="shared" si="19"/>
        <v>209</v>
      </c>
    </row>
    <row r="47" spans="1:20" ht="15.75" customHeight="1" x14ac:dyDescent="0.5">
      <c r="A47" s="26" t="s">
        <v>24</v>
      </c>
      <c r="B47" s="95">
        <v>1512</v>
      </c>
      <c r="C47" s="55">
        <v>491</v>
      </c>
      <c r="D47" s="39"/>
      <c r="E47" s="42">
        <v>88</v>
      </c>
      <c r="F47" s="42">
        <v>35</v>
      </c>
      <c r="G47" s="42"/>
      <c r="H47" s="31">
        <f t="shared" si="16"/>
        <v>123</v>
      </c>
      <c r="I47" s="32">
        <f>120+11+48+125+120</f>
        <v>424</v>
      </c>
      <c r="J47" s="33">
        <f>96+16+120+96+20+28</f>
        <v>376</v>
      </c>
      <c r="K47" s="33">
        <f t="shared" si="17"/>
        <v>-48</v>
      </c>
      <c r="L47" s="31">
        <v>1209</v>
      </c>
      <c r="M47" s="64">
        <v>379</v>
      </c>
      <c r="N47" s="35">
        <v>7</v>
      </c>
      <c r="O47" s="53">
        <v>458</v>
      </c>
      <c r="P47" s="37">
        <v>1209</v>
      </c>
      <c r="Q47" s="41">
        <f>120+77+360+81+96+120+124</f>
        <v>978</v>
      </c>
      <c r="R47" s="33">
        <f t="shared" si="18"/>
        <v>-231</v>
      </c>
      <c r="S47" s="101"/>
      <c r="T47" s="38">
        <f t="shared" si="19"/>
        <v>1633</v>
      </c>
    </row>
    <row r="48" spans="1:20" ht="15.75" customHeight="1" x14ac:dyDescent="0.5">
      <c r="A48" s="26" t="s">
        <v>37</v>
      </c>
      <c r="B48" s="95">
        <v>697</v>
      </c>
      <c r="C48" s="55"/>
      <c r="D48" s="29"/>
      <c r="E48" s="42">
        <v>34</v>
      </c>
      <c r="F48" s="42"/>
      <c r="G48" s="30"/>
      <c r="H48" s="31">
        <f t="shared" si="16"/>
        <v>34</v>
      </c>
      <c r="I48" s="32">
        <f>60+76+80+120+16+78</f>
        <v>430</v>
      </c>
      <c r="J48" s="41">
        <v>117</v>
      </c>
      <c r="K48" s="33">
        <f t="shared" si="17"/>
        <v>-313</v>
      </c>
      <c r="L48" s="31">
        <v>-26</v>
      </c>
      <c r="M48" s="64">
        <v>108</v>
      </c>
      <c r="N48" s="35"/>
      <c r="O48" s="53">
        <v>92</v>
      </c>
      <c r="P48" s="37">
        <v>-26</v>
      </c>
      <c r="Q48" s="41">
        <f>92+92+24+2+54</f>
        <v>264</v>
      </c>
      <c r="R48" s="33">
        <f t="shared" si="18"/>
        <v>290</v>
      </c>
      <c r="S48" s="101"/>
      <c r="T48" s="38">
        <f t="shared" si="19"/>
        <v>404</v>
      </c>
    </row>
    <row r="49" spans="1:20" ht="15.75" customHeight="1" x14ac:dyDescent="0.5">
      <c r="A49" s="26" t="s">
        <v>38</v>
      </c>
      <c r="B49" s="95">
        <v>216</v>
      </c>
      <c r="C49" s="63"/>
      <c r="D49" s="29"/>
      <c r="E49" s="42"/>
      <c r="F49" s="30"/>
      <c r="G49" s="30"/>
      <c r="H49" s="31">
        <f t="shared" si="16"/>
        <v>0</v>
      </c>
      <c r="I49" s="32">
        <f>45</f>
        <v>45</v>
      </c>
      <c r="J49" s="41">
        <f>47</f>
        <v>47</v>
      </c>
      <c r="K49" s="33">
        <f t="shared" si="17"/>
        <v>2</v>
      </c>
      <c r="L49" s="31">
        <v>28</v>
      </c>
      <c r="M49" s="34"/>
      <c r="N49" s="35"/>
      <c r="O49" s="53">
        <v>9</v>
      </c>
      <c r="P49" s="37">
        <v>28</v>
      </c>
      <c r="Q49" s="41">
        <f>96+48+13</f>
        <v>157</v>
      </c>
      <c r="R49" s="33">
        <f t="shared" si="18"/>
        <v>129</v>
      </c>
      <c r="S49" s="101"/>
      <c r="T49" s="38">
        <f t="shared" si="19"/>
        <v>73</v>
      </c>
    </row>
    <row r="50" spans="1:20" ht="15.75" customHeight="1" x14ac:dyDescent="0.5">
      <c r="A50" s="26" t="s">
        <v>39</v>
      </c>
      <c r="B50" s="95">
        <v>486</v>
      </c>
      <c r="C50" s="54"/>
      <c r="D50" s="29"/>
      <c r="E50" s="42">
        <v>4</v>
      </c>
      <c r="F50" s="30"/>
      <c r="G50" s="30"/>
      <c r="H50" s="31">
        <f t="shared" si="16"/>
        <v>4</v>
      </c>
      <c r="I50" s="32">
        <f>31+48+280</f>
        <v>359</v>
      </c>
      <c r="J50" s="33">
        <f>36+48+280</f>
        <v>364</v>
      </c>
      <c r="K50" s="33">
        <f t="shared" si="17"/>
        <v>5</v>
      </c>
      <c r="L50" s="31">
        <v>54</v>
      </c>
      <c r="M50" s="64">
        <v>139</v>
      </c>
      <c r="N50" s="35"/>
      <c r="O50" s="53">
        <v>20</v>
      </c>
      <c r="P50" s="37">
        <v>54</v>
      </c>
      <c r="Q50" s="41">
        <f>72+48+16</f>
        <v>136</v>
      </c>
      <c r="R50" s="33">
        <f t="shared" si="18"/>
        <v>82</v>
      </c>
      <c r="S50" s="101"/>
      <c r="T50" s="38">
        <f t="shared" si="19"/>
        <v>413</v>
      </c>
    </row>
    <row r="51" spans="1:20" ht="15.75" customHeight="1" x14ac:dyDescent="0.5">
      <c r="A51" s="26" t="s">
        <v>40</v>
      </c>
      <c r="B51" s="95">
        <v>0</v>
      </c>
      <c r="C51" s="28"/>
      <c r="D51" s="29"/>
      <c r="E51" s="30"/>
      <c r="F51" s="30"/>
      <c r="G51" s="30"/>
      <c r="H51" s="31">
        <f t="shared" si="16"/>
        <v>0</v>
      </c>
      <c r="I51" s="32">
        <f>255</f>
        <v>255</v>
      </c>
      <c r="J51" s="41">
        <v>114</v>
      </c>
      <c r="K51" s="33">
        <f t="shared" si="17"/>
        <v>-141</v>
      </c>
      <c r="L51" s="31">
        <v>31</v>
      </c>
      <c r="M51" s="34"/>
      <c r="N51" s="40"/>
      <c r="O51" s="53">
        <v>41</v>
      </c>
      <c r="P51" s="37">
        <v>31</v>
      </c>
      <c r="Q51" s="41">
        <v>255</v>
      </c>
      <c r="R51" s="33">
        <f t="shared" si="18"/>
        <v>224</v>
      </c>
      <c r="S51" s="101"/>
      <c r="T51" s="38">
        <f t="shared" si="19"/>
        <v>286</v>
      </c>
    </row>
    <row r="52" spans="1:20" ht="15.75" customHeight="1" x14ac:dyDescent="0.5">
      <c r="A52" s="65" t="s">
        <v>45</v>
      </c>
      <c r="B52" s="66"/>
      <c r="C52" s="67"/>
      <c r="D52" s="58"/>
      <c r="E52" s="59"/>
      <c r="F52" s="59"/>
      <c r="G52" s="59"/>
      <c r="H52" s="59"/>
      <c r="I52" s="21"/>
      <c r="J52" s="49"/>
      <c r="K52" s="49"/>
      <c r="L52" s="21"/>
      <c r="M52" s="60"/>
      <c r="N52" s="61"/>
      <c r="O52" s="59"/>
      <c r="P52" s="59"/>
      <c r="Q52" s="49"/>
      <c r="R52" s="49"/>
      <c r="S52" s="49"/>
      <c r="T52" s="21"/>
    </row>
    <row r="53" spans="1:20" ht="15.75" customHeight="1" x14ac:dyDescent="0.5">
      <c r="A53" s="26" t="s">
        <v>20</v>
      </c>
      <c r="B53" s="95">
        <v>-40</v>
      </c>
      <c r="C53" s="28"/>
      <c r="D53" s="29"/>
      <c r="E53" s="30"/>
      <c r="F53" s="30"/>
      <c r="G53" s="30"/>
      <c r="H53" s="31">
        <f t="shared" ref="H53:H57" si="20">SUM(E53:G53)</f>
        <v>0</v>
      </c>
      <c r="I53" s="32">
        <f t="shared" ref="I53:I54" si="21">B53-H53+C53+D53</f>
        <v>-40</v>
      </c>
      <c r="J53" s="41">
        <v>0</v>
      </c>
      <c r="K53" s="33">
        <f t="shared" ref="K53:K57" si="22">J53-I53</f>
        <v>40</v>
      </c>
      <c r="L53" s="31">
        <v>89</v>
      </c>
      <c r="M53" s="34"/>
      <c r="N53" s="35">
        <v>1</v>
      </c>
      <c r="O53" s="53">
        <v>16</v>
      </c>
      <c r="P53" s="37">
        <v>89</v>
      </c>
      <c r="Q53" s="41">
        <f>17+1</f>
        <v>18</v>
      </c>
      <c r="R53" s="33">
        <f t="shared" ref="R53:R57" si="23">Q53-P53</f>
        <v>-71</v>
      </c>
      <c r="S53" s="101"/>
      <c r="T53" s="38">
        <f t="shared" ref="T53:T65" si="24">I53+P53</f>
        <v>49</v>
      </c>
    </row>
    <row r="54" spans="1:20" ht="15.75" customHeight="1" x14ac:dyDescent="0.5">
      <c r="A54" s="26" t="s">
        <v>21</v>
      </c>
      <c r="B54" s="95">
        <v>0</v>
      </c>
      <c r="C54" s="28"/>
      <c r="D54" s="29"/>
      <c r="E54" s="30"/>
      <c r="F54" s="30"/>
      <c r="G54" s="30"/>
      <c r="H54" s="31">
        <f t="shared" si="20"/>
        <v>0</v>
      </c>
      <c r="I54" s="32">
        <f t="shared" si="21"/>
        <v>0</v>
      </c>
      <c r="J54" s="41">
        <v>0</v>
      </c>
      <c r="K54" s="33">
        <f t="shared" si="22"/>
        <v>0</v>
      </c>
      <c r="L54" s="31">
        <v>64</v>
      </c>
      <c r="M54" s="64"/>
      <c r="N54" s="40"/>
      <c r="O54" s="53"/>
      <c r="P54" s="37">
        <v>64</v>
      </c>
      <c r="Q54" s="41">
        <f>52</f>
        <v>52</v>
      </c>
      <c r="R54" s="33">
        <f t="shared" si="23"/>
        <v>-12</v>
      </c>
      <c r="S54" s="101"/>
      <c r="T54" s="38">
        <f t="shared" si="24"/>
        <v>64</v>
      </c>
    </row>
    <row r="55" spans="1:20" ht="15.75" customHeight="1" x14ac:dyDescent="0.5">
      <c r="A55" s="26" t="s">
        <v>22</v>
      </c>
      <c r="B55" s="95">
        <v>7</v>
      </c>
      <c r="C55" s="28"/>
      <c r="D55" s="29"/>
      <c r="E55" s="30"/>
      <c r="F55" s="30"/>
      <c r="G55" s="30"/>
      <c r="H55" s="31">
        <f t="shared" si="20"/>
        <v>0</v>
      </c>
      <c r="I55" s="106">
        <v>0</v>
      </c>
      <c r="J55" s="41">
        <v>0</v>
      </c>
      <c r="K55" s="33">
        <f t="shared" si="22"/>
        <v>0</v>
      </c>
      <c r="L55" s="31">
        <v>107</v>
      </c>
      <c r="M55" s="64"/>
      <c r="N55" s="35">
        <v>1</v>
      </c>
      <c r="O55" s="53">
        <v>8</v>
      </c>
      <c r="P55" s="37">
        <v>107</v>
      </c>
      <c r="Q55" s="41">
        <f>27</f>
        <v>27</v>
      </c>
      <c r="R55" s="33">
        <f t="shared" si="23"/>
        <v>-80</v>
      </c>
      <c r="S55" s="101"/>
      <c r="T55" s="38">
        <f t="shared" si="24"/>
        <v>107</v>
      </c>
    </row>
    <row r="56" spans="1:20" ht="15.75" customHeight="1" x14ac:dyDescent="0.5">
      <c r="A56" s="26" t="s">
        <v>23</v>
      </c>
      <c r="B56" s="95">
        <v>0</v>
      </c>
      <c r="C56" s="28"/>
      <c r="D56" s="29"/>
      <c r="E56" s="30"/>
      <c r="F56" s="30"/>
      <c r="G56" s="30"/>
      <c r="H56" s="31">
        <f t="shared" si="20"/>
        <v>0</v>
      </c>
      <c r="I56" s="32">
        <f>B56-H56+C56+D56</f>
        <v>0</v>
      </c>
      <c r="J56" s="41">
        <v>0</v>
      </c>
      <c r="K56" s="33">
        <f t="shared" si="22"/>
        <v>0</v>
      </c>
      <c r="L56" s="31">
        <v>100</v>
      </c>
      <c r="M56" s="64"/>
      <c r="N56" s="35"/>
      <c r="O56" s="53">
        <v>3</v>
      </c>
      <c r="P56" s="37">
        <v>100</v>
      </c>
      <c r="Q56" s="41">
        <f>72+14+2</f>
        <v>88</v>
      </c>
      <c r="R56" s="33">
        <f t="shared" si="23"/>
        <v>-12</v>
      </c>
      <c r="S56" s="101"/>
      <c r="T56" s="38">
        <f t="shared" si="24"/>
        <v>100</v>
      </c>
    </row>
    <row r="57" spans="1:20" ht="18" customHeight="1" x14ac:dyDescent="0.5">
      <c r="A57" s="26" t="s">
        <v>25</v>
      </c>
      <c r="B57" s="95">
        <v>32</v>
      </c>
      <c r="C57" s="54">
        <v>120</v>
      </c>
      <c r="D57" s="39"/>
      <c r="E57" s="42">
        <v>8</v>
      </c>
      <c r="F57" s="42"/>
      <c r="G57" s="30"/>
      <c r="H57" s="31">
        <f t="shared" si="20"/>
        <v>8</v>
      </c>
      <c r="I57" s="106">
        <v>0</v>
      </c>
      <c r="J57" s="41">
        <v>0</v>
      </c>
      <c r="K57" s="33">
        <f t="shared" si="22"/>
        <v>0</v>
      </c>
      <c r="L57" s="31">
        <v>85</v>
      </c>
      <c r="M57" s="64">
        <v>120</v>
      </c>
      <c r="N57" s="35"/>
      <c r="O57" s="53">
        <v>22</v>
      </c>
      <c r="P57" s="37">
        <v>85</v>
      </c>
      <c r="Q57" s="41">
        <f>24+2+96+21</f>
        <v>143</v>
      </c>
      <c r="R57" s="33">
        <f t="shared" si="23"/>
        <v>58</v>
      </c>
      <c r="S57" s="101"/>
      <c r="T57" s="38">
        <f t="shared" si="24"/>
        <v>85</v>
      </c>
    </row>
    <row r="58" spans="1:20" ht="15.75" customHeight="1" x14ac:dyDescent="0.5">
      <c r="A58" s="15" t="s">
        <v>46</v>
      </c>
      <c r="B58" s="62"/>
      <c r="C58" s="57"/>
      <c r="D58" s="58"/>
      <c r="E58" s="59"/>
      <c r="F58" s="59"/>
      <c r="G58" s="59"/>
      <c r="H58" s="59"/>
      <c r="I58" s="21"/>
      <c r="J58" s="49"/>
      <c r="K58" s="49"/>
      <c r="L58" s="21"/>
      <c r="M58" s="60"/>
      <c r="N58" s="61"/>
      <c r="O58" s="59"/>
      <c r="P58" s="59"/>
      <c r="Q58" s="49"/>
      <c r="R58" s="49"/>
      <c r="S58" s="102"/>
      <c r="T58" s="38">
        <f t="shared" si="24"/>
        <v>0</v>
      </c>
    </row>
    <row r="59" spans="1:20" ht="15.75" customHeight="1" x14ac:dyDescent="0.5">
      <c r="A59" s="26" t="s">
        <v>47</v>
      </c>
      <c r="B59" s="95">
        <v>124</v>
      </c>
      <c r="C59" s="54"/>
      <c r="D59" s="29"/>
      <c r="E59" s="30"/>
      <c r="F59" s="30"/>
      <c r="G59" s="42"/>
      <c r="H59" s="31">
        <f t="shared" ref="H59:H66" si="25">SUM(E59:G59)</f>
        <v>0</v>
      </c>
      <c r="I59" s="106">
        <v>117</v>
      </c>
      <c r="J59" s="33">
        <f>108+11</f>
        <v>119</v>
      </c>
      <c r="K59" s="33">
        <f t="shared" ref="K59:K66" si="26">J59-I59</f>
        <v>2</v>
      </c>
      <c r="L59" s="31">
        <v>4</v>
      </c>
      <c r="M59" s="34"/>
      <c r="N59" s="40"/>
      <c r="O59" s="53">
        <v>1</v>
      </c>
      <c r="P59" s="37">
        <v>4</v>
      </c>
      <c r="Q59" s="41">
        <v>1</v>
      </c>
      <c r="R59" s="33">
        <f t="shared" ref="R59:R66" si="27">Q59-P59</f>
        <v>-3</v>
      </c>
      <c r="S59" s="101"/>
      <c r="T59" s="38">
        <f t="shared" si="24"/>
        <v>121</v>
      </c>
    </row>
    <row r="60" spans="1:20" ht="15.75" customHeight="1" x14ac:dyDescent="0.5">
      <c r="A60" s="70" t="s">
        <v>48</v>
      </c>
      <c r="B60" s="95">
        <v>-2</v>
      </c>
      <c r="C60" s="28"/>
      <c r="D60" s="29"/>
      <c r="E60" s="30"/>
      <c r="F60" s="30"/>
      <c r="G60" s="30"/>
      <c r="H60" s="31">
        <f t="shared" si="25"/>
        <v>0</v>
      </c>
      <c r="I60" s="106">
        <v>0</v>
      </c>
      <c r="J60" s="33"/>
      <c r="K60" s="33">
        <f t="shared" si="26"/>
        <v>0</v>
      </c>
      <c r="L60" s="31">
        <v>0</v>
      </c>
      <c r="M60" s="34"/>
      <c r="N60" s="40"/>
      <c r="O60" s="36"/>
      <c r="P60" s="37">
        <v>0</v>
      </c>
      <c r="R60" s="33">
        <f t="shared" si="27"/>
        <v>0</v>
      </c>
      <c r="S60" s="101"/>
      <c r="T60" s="38">
        <f t="shared" si="24"/>
        <v>0</v>
      </c>
    </row>
    <row r="61" spans="1:20" ht="15.75" customHeight="1" x14ac:dyDescent="0.5">
      <c r="A61" s="26" t="s">
        <v>49</v>
      </c>
      <c r="B61" s="95">
        <v>1</v>
      </c>
      <c r="C61" s="28"/>
      <c r="D61" s="29"/>
      <c r="E61" s="42"/>
      <c r="F61" s="30"/>
      <c r="G61" s="30"/>
      <c r="H61" s="31">
        <f t="shared" si="25"/>
        <v>0</v>
      </c>
      <c r="I61" s="106">
        <v>26</v>
      </c>
      <c r="J61" s="33"/>
      <c r="K61" s="33">
        <f t="shared" si="26"/>
        <v>-26</v>
      </c>
      <c r="L61" s="31">
        <v>3</v>
      </c>
      <c r="M61" s="64">
        <v>39</v>
      </c>
      <c r="N61" s="40"/>
      <c r="O61" s="53">
        <v>6</v>
      </c>
      <c r="P61" s="37">
        <v>3</v>
      </c>
      <c r="Q61" s="41">
        <v>32</v>
      </c>
      <c r="R61" s="33">
        <f t="shared" si="27"/>
        <v>29</v>
      </c>
      <c r="S61" s="101"/>
      <c r="T61" s="38">
        <f t="shared" si="24"/>
        <v>29</v>
      </c>
    </row>
    <row r="62" spans="1:20" ht="15.75" customHeight="1" x14ac:dyDescent="0.5">
      <c r="A62" s="26" t="s">
        <v>50</v>
      </c>
      <c r="B62" s="95">
        <v>0</v>
      </c>
      <c r="C62" s="28"/>
      <c r="D62" s="29"/>
      <c r="E62" s="30"/>
      <c r="F62" s="30"/>
      <c r="G62" s="30"/>
      <c r="H62" s="31">
        <f t="shared" si="25"/>
        <v>0</v>
      </c>
      <c r="I62" s="32">
        <f>B62-H62+C62+D62</f>
        <v>0</v>
      </c>
      <c r="J62" s="33"/>
      <c r="K62" s="33">
        <f t="shared" si="26"/>
        <v>0</v>
      </c>
      <c r="L62" s="31">
        <v>59</v>
      </c>
      <c r="M62" s="64"/>
      <c r="N62" s="40"/>
      <c r="O62" s="53">
        <v>9</v>
      </c>
      <c r="P62" s="37">
        <v>59</v>
      </c>
      <c r="Q62" s="41">
        <v>36</v>
      </c>
      <c r="R62" s="33">
        <f t="shared" si="27"/>
        <v>-23</v>
      </c>
      <c r="S62" s="101"/>
      <c r="T62" s="38">
        <f t="shared" si="24"/>
        <v>59</v>
      </c>
    </row>
    <row r="63" spans="1:20" ht="15.75" customHeight="1" x14ac:dyDescent="0.5">
      <c r="A63" s="26" t="s">
        <v>51</v>
      </c>
      <c r="B63" s="95">
        <v>13</v>
      </c>
      <c r="C63" s="28"/>
      <c r="D63" s="29"/>
      <c r="E63" s="30"/>
      <c r="F63" s="30"/>
      <c r="G63" s="30"/>
      <c r="H63" s="31">
        <f t="shared" si="25"/>
        <v>0</v>
      </c>
      <c r="I63" s="106">
        <v>13</v>
      </c>
      <c r="J63" s="41">
        <v>13</v>
      </c>
      <c r="K63" s="33">
        <f t="shared" si="26"/>
        <v>0</v>
      </c>
      <c r="L63" s="31">
        <v>10</v>
      </c>
      <c r="M63" s="34"/>
      <c r="N63" s="40"/>
      <c r="O63" s="53">
        <v>3</v>
      </c>
      <c r="P63" s="37">
        <v>10</v>
      </c>
      <c r="Q63" s="41">
        <v>7</v>
      </c>
      <c r="R63" s="33">
        <f t="shared" si="27"/>
        <v>-3</v>
      </c>
      <c r="S63" s="101"/>
      <c r="T63" s="38">
        <f t="shared" si="24"/>
        <v>23</v>
      </c>
    </row>
    <row r="64" spans="1:20" ht="15.75" customHeight="1" x14ac:dyDescent="0.5">
      <c r="A64" s="26" t="s">
        <v>52</v>
      </c>
      <c r="B64" s="95">
        <v>21</v>
      </c>
      <c r="C64" s="28"/>
      <c r="D64" s="29"/>
      <c r="E64" s="30"/>
      <c r="F64" s="30"/>
      <c r="G64" s="30"/>
      <c r="H64" s="31">
        <f t="shared" si="25"/>
        <v>0</v>
      </c>
      <c r="I64" s="106">
        <v>21</v>
      </c>
      <c r="J64" s="41">
        <v>20</v>
      </c>
      <c r="K64" s="33">
        <f t="shared" si="26"/>
        <v>-1</v>
      </c>
      <c r="L64" s="31">
        <v>15</v>
      </c>
      <c r="M64" s="34"/>
      <c r="N64" s="40"/>
      <c r="O64" s="53">
        <v>3</v>
      </c>
      <c r="P64" s="37">
        <v>15</v>
      </c>
      <c r="Q64" s="41">
        <v>16</v>
      </c>
      <c r="R64" s="33">
        <f t="shared" si="27"/>
        <v>1</v>
      </c>
      <c r="S64" s="101"/>
      <c r="T64" s="38">
        <f t="shared" si="24"/>
        <v>36</v>
      </c>
    </row>
    <row r="65" spans="1:20" ht="15.75" customHeight="1" x14ac:dyDescent="0.5">
      <c r="A65" s="72" t="s">
        <v>53</v>
      </c>
      <c r="B65" s="95">
        <v>0</v>
      </c>
      <c r="C65" s="73"/>
      <c r="D65" s="74"/>
      <c r="E65" s="30"/>
      <c r="F65" s="30"/>
      <c r="G65" s="30"/>
      <c r="H65" s="31">
        <f t="shared" si="25"/>
        <v>0</v>
      </c>
      <c r="I65" s="32">
        <f>B65-H65+C65+D65</f>
        <v>0</v>
      </c>
      <c r="J65" s="41">
        <v>8</v>
      </c>
      <c r="K65" s="33">
        <f t="shared" si="26"/>
        <v>8</v>
      </c>
      <c r="L65" s="31">
        <v>19</v>
      </c>
      <c r="M65" s="75"/>
      <c r="N65" s="76"/>
      <c r="O65" s="53">
        <v>2</v>
      </c>
      <c r="P65" s="37">
        <v>19</v>
      </c>
      <c r="Q65" s="41">
        <v>16</v>
      </c>
      <c r="R65" s="33">
        <f t="shared" si="27"/>
        <v>-3</v>
      </c>
      <c r="S65" s="101"/>
      <c r="T65" s="38">
        <f t="shared" si="24"/>
        <v>19</v>
      </c>
    </row>
    <row r="66" spans="1:20" ht="15.75" customHeight="1" x14ac:dyDescent="0.5">
      <c r="A66" s="77" t="s">
        <v>54</v>
      </c>
      <c r="B66" s="95">
        <v>107</v>
      </c>
      <c r="C66" s="27"/>
      <c r="D66" s="78"/>
      <c r="E66" s="42"/>
      <c r="F66" s="30"/>
      <c r="G66" s="30"/>
      <c r="H66" s="31">
        <f t="shared" si="25"/>
        <v>0</v>
      </c>
      <c r="I66" s="106">
        <v>120</v>
      </c>
      <c r="J66" s="33">
        <f>48+13+120</f>
        <v>181</v>
      </c>
      <c r="K66" s="33">
        <f t="shared" si="26"/>
        <v>61</v>
      </c>
      <c r="L66" s="31">
        <v>39</v>
      </c>
      <c r="M66" s="79"/>
      <c r="N66" s="79"/>
      <c r="O66" s="53">
        <v>31</v>
      </c>
      <c r="P66" s="37">
        <v>39</v>
      </c>
      <c r="Q66" s="41">
        <f>48+22</f>
        <v>70</v>
      </c>
      <c r="R66" s="33">
        <f t="shared" si="27"/>
        <v>31</v>
      </c>
      <c r="S66" s="101"/>
      <c r="T66" s="38"/>
    </row>
    <row r="67" spans="1:20" ht="24.75" customHeight="1" x14ac:dyDescent="0.75">
      <c r="B67" s="80">
        <f t="shared" ref="B67:D67" si="28">SUM(B6:B66)</f>
        <v>14193</v>
      </c>
      <c r="C67" s="80">
        <f t="shared" si="28"/>
        <v>3498</v>
      </c>
      <c r="D67" s="81">
        <f t="shared" si="28"/>
        <v>0</v>
      </c>
      <c r="E67" s="82">
        <f t="shared" ref="E67:I67" si="29">SUM(E6:E66)</f>
        <v>589</v>
      </c>
      <c r="F67" s="82">
        <f t="shared" si="29"/>
        <v>543</v>
      </c>
      <c r="G67" s="82">
        <f t="shared" si="29"/>
        <v>7</v>
      </c>
      <c r="H67" s="83">
        <f t="shared" si="29"/>
        <v>1139</v>
      </c>
      <c r="I67" s="84">
        <f t="shared" si="29"/>
        <v>11841</v>
      </c>
      <c r="J67" s="84">
        <f>SUM(J6:J65)</f>
        <v>11098</v>
      </c>
      <c r="K67" s="84">
        <f>SUM(K6:K66)</f>
        <v>-562</v>
      </c>
      <c r="L67" s="85">
        <f t="shared" ref="L67:O67" si="30">SUM(L6:L66)</f>
        <v>4981</v>
      </c>
      <c r="M67" s="85">
        <f t="shared" si="30"/>
        <v>2338</v>
      </c>
      <c r="N67" s="85">
        <f t="shared" si="30"/>
        <v>15</v>
      </c>
      <c r="O67" s="85">
        <f t="shared" si="30"/>
        <v>1772</v>
      </c>
      <c r="P67" s="98">
        <f t="shared" ref="P67:R67" si="31">SUM(P6:P66)</f>
        <v>4981</v>
      </c>
      <c r="Q67" s="84">
        <f t="shared" si="31"/>
        <v>5794</v>
      </c>
      <c r="R67" s="84">
        <f t="shared" si="31"/>
        <v>813</v>
      </c>
      <c r="S67" s="84"/>
      <c r="T67" s="87">
        <f>I67+P67</f>
        <v>16822</v>
      </c>
    </row>
    <row r="68" spans="1:20" ht="29.25" customHeight="1" x14ac:dyDescent="0.7">
      <c r="A68" s="93" t="s">
        <v>74</v>
      </c>
      <c r="D68" s="88" t="s">
        <v>55</v>
      </c>
      <c r="E68" s="89">
        <f>E67+F67+G67-D67</f>
        <v>1139</v>
      </c>
      <c r="H68" s="90"/>
      <c r="I68" s="90"/>
      <c r="N68" s="91" t="s">
        <v>55</v>
      </c>
      <c r="O68" s="92">
        <f>SUM(O6:O66)</f>
        <v>1772</v>
      </c>
    </row>
    <row r="69" spans="1:20" ht="15.75" customHeight="1" x14ac:dyDescent="0.4">
      <c r="G69" s="126" t="s">
        <v>56</v>
      </c>
      <c r="H69" s="117"/>
      <c r="I69" s="127">
        <f>E68+O68</f>
        <v>2911</v>
      </c>
    </row>
    <row r="70" spans="1:20" ht="15.75" customHeight="1" x14ac:dyDescent="0.4">
      <c r="G70" s="128" t="s">
        <v>57</v>
      </c>
      <c r="H70" s="109"/>
      <c r="I70" s="115"/>
    </row>
    <row r="71" spans="1:20" ht="15.75" customHeight="1" x14ac:dyDescent="0.35">
      <c r="H71" s="90"/>
      <c r="I71" s="90"/>
    </row>
    <row r="72" spans="1:20" ht="15.75" customHeight="1" x14ac:dyDescent="0.35">
      <c r="H72" s="90"/>
      <c r="I72" s="90"/>
    </row>
    <row r="73" spans="1:20" ht="15.75" customHeight="1" x14ac:dyDescent="0.35">
      <c r="H73" s="90"/>
      <c r="I73" s="90"/>
    </row>
    <row r="74" spans="1:20" ht="15.75" customHeight="1" x14ac:dyDescent="0.35">
      <c r="H74" s="90"/>
      <c r="I74" s="90"/>
    </row>
    <row r="75" spans="1:20" ht="15.75" customHeight="1" x14ac:dyDescent="0.35">
      <c r="H75" s="90"/>
      <c r="I75" s="90"/>
    </row>
    <row r="76" spans="1:20" ht="15.75" customHeight="1" x14ac:dyDescent="0.35">
      <c r="H76" s="90"/>
      <c r="I76" s="90"/>
    </row>
    <row r="77" spans="1:20" ht="15.75" customHeight="1" x14ac:dyDescent="0.35">
      <c r="H77" s="90"/>
      <c r="I77" s="90"/>
    </row>
    <row r="78" spans="1:20" ht="15.75" customHeight="1" x14ac:dyDescent="0.35">
      <c r="H78" s="90"/>
      <c r="I78" s="90"/>
    </row>
    <row r="79" spans="1:20" ht="15.75" customHeight="1" x14ac:dyDescent="0.35">
      <c r="H79" s="90"/>
      <c r="I79" s="90"/>
    </row>
    <row r="80" spans="1:20" ht="15.75" customHeight="1" x14ac:dyDescent="0.35">
      <c r="H80" s="90"/>
      <c r="I80" s="90"/>
    </row>
    <row r="81" spans="8:9" ht="15.75" customHeight="1" x14ac:dyDescent="0.35">
      <c r="H81" s="90"/>
      <c r="I81" s="90"/>
    </row>
    <row r="82" spans="8:9" ht="15.75" customHeight="1" x14ac:dyDescent="0.35">
      <c r="H82" s="90"/>
      <c r="I82" s="90"/>
    </row>
    <row r="83" spans="8:9" ht="15.75" customHeight="1" x14ac:dyDescent="0.35">
      <c r="H83" s="90"/>
      <c r="I83" s="90"/>
    </row>
    <row r="84" spans="8:9" ht="15.75" customHeight="1" x14ac:dyDescent="0.35">
      <c r="H84" s="90"/>
      <c r="I84" s="90"/>
    </row>
    <row r="85" spans="8:9" ht="15.75" customHeight="1" x14ac:dyDescent="0.35">
      <c r="H85" s="90"/>
      <c r="I85" s="90"/>
    </row>
    <row r="86" spans="8:9" ht="15.75" customHeight="1" x14ac:dyDescent="0.35">
      <c r="H86" s="90"/>
      <c r="I86" s="90"/>
    </row>
    <row r="87" spans="8:9" ht="15.75" customHeight="1" x14ac:dyDescent="0.35">
      <c r="H87" s="90"/>
      <c r="I87" s="90"/>
    </row>
    <row r="88" spans="8:9" ht="15.75" customHeight="1" x14ac:dyDescent="0.35">
      <c r="H88" s="90"/>
      <c r="I88" s="90"/>
    </row>
    <row r="89" spans="8:9" ht="15.75" customHeight="1" x14ac:dyDescent="0.35">
      <c r="H89" s="90"/>
      <c r="I89" s="90"/>
    </row>
    <row r="90" spans="8:9" ht="15.75" customHeight="1" x14ac:dyDescent="0.35">
      <c r="H90" s="90"/>
      <c r="I90" s="90"/>
    </row>
    <row r="91" spans="8:9" ht="15.75" customHeight="1" x14ac:dyDescent="0.35">
      <c r="H91" s="90"/>
      <c r="I91" s="90"/>
    </row>
    <row r="92" spans="8:9" ht="15.75" customHeight="1" x14ac:dyDescent="0.35">
      <c r="H92" s="90"/>
      <c r="I92" s="90"/>
    </row>
    <row r="93" spans="8:9" ht="15.75" customHeight="1" x14ac:dyDescent="0.35">
      <c r="H93" s="90"/>
      <c r="I93" s="90"/>
    </row>
    <row r="94" spans="8:9" ht="15.75" customHeight="1" x14ac:dyDescent="0.35">
      <c r="H94" s="90"/>
      <c r="I94" s="90"/>
    </row>
    <row r="95" spans="8:9" ht="15.75" customHeight="1" x14ac:dyDescent="0.35">
      <c r="H95" s="90"/>
      <c r="I95" s="90"/>
    </row>
    <row r="96" spans="8:9" ht="15.75" customHeight="1" x14ac:dyDescent="0.35">
      <c r="H96" s="90"/>
      <c r="I96" s="90"/>
    </row>
    <row r="97" spans="8:9" ht="15.75" customHeight="1" x14ac:dyDescent="0.35">
      <c r="H97" s="90"/>
      <c r="I97" s="90"/>
    </row>
    <row r="98" spans="8:9" ht="15.75" customHeight="1" x14ac:dyDescent="0.35">
      <c r="H98" s="90"/>
      <c r="I98" s="90"/>
    </row>
    <row r="99" spans="8:9" ht="15.75" customHeight="1" x14ac:dyDescent="0.35">
      <c r="H99" s="90"/>
      <c r="I99" s="90"/>
    </row>
    <row r="100" spans="8:9" ht="15.75" customHeight="1" x14ac:dyDescent="0.35">
      <c r="H100" s="90"/>
      <c r="I100" s="90"/>
    </row>
    <row r="101" spans="8:9" ht="15.75" customHeight="1" x14ac:dyDescent="0.35">
      <c r="H101" s="90"/>
      <c r="I101" s="90"/>
    </row>
    <row r="102" spans="8:9" ht="15.75" customHeight="1" x14ac:dyDescent="0.35">
      <c r="H102" s="90"/>
      <c r="I102" s="90"/>
    </row>
    <row r="103" spans="8:9" ht="15.75" customHeight="1" x14ac:dyDescent="0.35">
      <c r="H103" s="90"/>
      <c r="I103" s="90"/>
    </row>
    <row r="104" spans="8:9" ht="15.75" customHeight="1" x14ac:dyDescent="0.35">
      <c r="H104" s="90"/>
      <c r="I104" s="90"/>
    </row>
    <row r="105" spans="8:9" ht="15.75" customHeight="1" x14ac:dyDescent="0.35">
      <c r="H105" s="90"/>
      <c r="I105" s="90"/>
    </row>
    <row r="106" spans="8:9" ht="15.75" customHeight="1" x14ac:dyDescent="0.35">
      <c r="H106" s="90"/>
      <c r="I106" s="90"/>
    </row>
    <row r="107" spans="8:9" ht="15.75" customHeight="1" x14ac:dyDescent="0.35">
      <c r="H107" s="90"/>
      <c r="I107" s="90"/>
    </row>
    <row r="108" spans="8:9" ht="15.75" customHeight="1" x14ac:dyDescent="0.35">
      <c r="H108" s="90"/>
      <c r="I108" s="90"/>
    </row>
    <row r="109" spans="8:9" ht="15.75" customHeight="1" x14ac:dyDescent="0.35">
      <c r="H109" s="90"/>
      <c r="I109" s="90"/>
    </row>
    <row r="110" spans="8:9" ht="15.75" customHeight="1" x14ac:dyDescent="0.35">
      <c r="H110" s="90"/>
      <c r="I110" s="90"/>
    </row>
    <row r="111" spans="8:9" ht="15.75" customHeight="1" x14ac:dyDescent="0.35">
      <c r="H111" s="90"/>
      <c r="I111" s="90"/>
    </row>
    <row r="112" spans="8:9" ht="15.75" customHeight="1" x14ac:dyDescent="0.35">
      <c r="H112" s="90"/>
      <c r="I112" s="90"/>
    </row>
    <row r="113" spans="8:9" ht="15.75" customHeight="1" x14ac:dyDescent="0.35">
      <c r="H113" s="90"/>
      <c r="I113" s="90"/>
    </row>
    <row r="114" spans="8:9" ht="15.75" customHeight="1" x14ac:dyDescent="0.35">
      <c r="H114" s="90"/>
      <c r="I114" s="90"/>
    </row>
    <row r="115" spans="8:9" ht="15.75" customHeight="1" x14ac:dyDescent="0.35">
      <c r="H115" s="90"/>
      <c r="I115" s="90"/>
    </row>
    <row r="116" spans="8:9" ht="15.75" customHeight="1" x14ac:dyDescent="0.35">
      <c r="H116" s="90"/>
      <c r="I116" s="90"/>
    </row>
    <row r="117" spans="8:9" ht="15.75" customHeight="1" x14ac:dyDescent="0.35">
      <c r="H117" s="90"/>
      <c r="I117" s="90"/>
    </row>
    <row r="118" spans="8:9" ht="15.75" customHeight="1" x14ac:dyDescent="0.35">
      <c r="H118" s="90"/>
      <c r="I118" s="90"/>
    </row>
    <row r="119" spans="8:9" ht="15.75" customHeight="1" x14ac:dyDescent="0.35">
      <c r="H119" s="90"/>
      <c r="I119" s="90"/>
    </row>
    <row r="120" spans="8:9" ht="15.75" customHeight="1" x14ac:dyDescent="0.35">
      <c r="H120" s="90"/>
      <c r="I120" s="90"/>
    </row>
    <row r="121" spans="8:9" ht="15.75" customHeight="1" x14ac:dyDescent="0.35">
      <c r="H121" s="90"/>
      <c r="I121" s="90"/>
    </row>
    <row r="122" spans="8:9" ht="15.75" customHeight="1" x14ac:dyDescent="0.35">
      <c r="H122" s="90"/>
      <c r="I122" s="90"/>
    </row>
    <row r="123" spans="8:9" ht="15.75" customHeight="1" x14ac:dyDescent="0.35">
      <c r="H123" s="90"/>
      <c r="I123" s="90"/>
    </row>
    <row r="124" spans="8:9" ht="15.75" customHeight="1" x14ac:dyDescent="0.35">
      <c r="H124" s="90"/>
      <c r="I124" s="90"/>
    </row>
    <row r="125" spans="8:9" ht="15.75" customHeight="1" x14ac:dyDescent="0.35">
      <c r="H125" s="90"/>
      <c r="I125" s="90"/>
    </row>
    <row r="126" spans="8:9" ht="15.75" customHeight="1" x14ac:dyDescent="0.35">
      <c r="H126" s="90"/>
      <c r="I126" s="90"/>
    </row>
    <row r="127" spans="8:9" ht="15.75" customHeight="1" x14ac:dyDescent="0.35">
      <c r="H127" s="90"/>
      <c r="I127" s="90"/>
    </row>
    <row r="128" spans="8:9" ht="15.75" customHeight="1" x14ac:dyDescent="0.35">
      <c r="H128" s="90"/>
      <c r="I128" s="90"/>
    </row>
    <row r="129" spans="8:9" ht="15.75" customHeight="1" x14ac:dyDescent="0.35">
      <c r="H129" s="90"/>
      <c r="I129" s="90"/>
    </row>
    <row r="130" spans="8:9" ht="15.75" customHeight="1" x14ac:dyDescent="0.35">
      <c r="H130" s="90"/>
      <c r="I130" s="90"/>
    </row>
    <row r="131" spans="8:9" ht="15.75" customHeight="1" x14ac:dyDescent="0.35">
      <c r="H131" s="90"/>
      <c r="I131" s="90"/>
    </row>
    <row r="132" spans="8:9" ht="15.75" customHeight="1" x14ac:dyDescent="0.35">
      <c r="H132" s="90"/>
      <c r="I132" s="90"/>
    </row>
    <row r="133" spans="8:9" ht="15.75" customHeight="1" x14ac:dyDescent="0.35">
      <c r="H133" s="90"/>
      <c r="I133" s="90"/>
    </row>
    <row r="134" spans="8:9" ht="15.75" customHeight="1" x14ac:dyDescent="0.35">
      <c r="H134" s="90"/>
      <c r="I134" s="90"/>
    </row>
    <row r="135" spans="8:9" ht="15.75" customHeight="1" x14ac:dyDescent="0.35">
      <c r="H135" s="90"/>
      <c r="I135" s="90"/>
    </row>
    <row r="136" spans="8:9" ht="15.75" customHeight="1" x14ac:dyDescent="0.35">
      <c r="H136" s="90"/>
      <c r="I136" s="90"/>
    </row>
    <row r="137" spans="8:9" ht="15.75" customHeight="1" x14ac:dyDescent="0.35">
      <c r="H137" s="90"/>
      <c r="I137" s="90"/>
    </row>
    <row r="138" spans="8:9" ht="15.75" customHeight="1" x14ac:dyDescent="0.35">
      <c r="H138" s="90"/>
      <c r="I138" s="90"/>
    </row>
    <row r="139" spans="8:9" ht="15.75" customHeight="1" x14ac:dyDescent="0.35">
      <c r="H139" s="90"/>
      <c r="I139" s="90"/>
    </row>
    <row r="140" spans="8:9" ht="15.75" customHeight="1" x14ac:dyDescent="0.35">
      <c r="H140" s="90"/>
      <c r="I140" s="90"/>
    </row>
    <row r="141" spans="8:9" ht="15.75" customHeight="1" x14ac:dyDescent="0.35">
      <c r="H141" s="90"/>
      <c r="I141" s="90"/>
    </row>
    <row r="142" spans="8:9" ht="15.75" customHeight="1" x14ac:dyDescent="0.35">
      <c r="H142" s="90"/>
      <c r="I142" s="90"/>
    </row>
    <row r="143" spans="8:9" ht="15.75" customHeight="1" x14ac:dyDescent="0.35">
      <c r="H143" s="90"/>
      <c r="I143" s="90"/>
    </row>
    <row r="144" spans="8:9" ht="15.75" customHeight="1" x14ac:dyDescent="0.35">
      <c r="H144" s="90"/>
      <c r="I144" s="90"/>
    </row>
    <row r="145" spans="8:9" ht="15.75" customHeight="1" x14ac:dyDescent="0.35">
      <c r="H145" s="90"/>
      <c r="I145" s="90"/>
    </row>
    <row r="146" spans="8:9" ht="15.75" customHeight="1" x14ac:dyDescent="0.35">
      <c r="H146" s="90"/>
      <c r="I146" s="90"/>
    </row>
    <row r="147" spans="8:9" ht="15.75" customHeight="1" x14ac:dyDescent="0.35">
      <c r="H147" s="90"/>
      <c r="I147" s="90"/>
    </row>
    <row r="148" spans="8:9" ht="15.75" customHeight="1" x14ac:dyDescent="0.35">
      <c r="H148" s="90"/>
      <c r="I148" s="90"/>
    </row>
    <row r="149" spans="8:9" ht="15.75" customHeight="1" x14ac:dyDescent="0.35">
      <c r="H149" s="90"/>
      <c r="I149" s="90"/>
    </row>
    <row r="150" spans="8:9" ht="15.75" customHeight="1" x14ac:dyDescent="0.35">
      <c r="H150" s="90"/>
      <c r="I150" s="90"/>
    </row>
    <row r="151" spans="8:9" ht="15.75" customHeight="1" x14ac:dyDescent="0.35">
      <c r="H151" s="90"/>
      <c r="I151" s="90"/>
    </row>
    <row r="152" spans="8:9" ht="15.75" customHeight="1" x14ac:dyDescent="0.35">
      <c r="H152" s="90"/>
      <c r="I152" s="90"/>
    </row>
    <row r="153" spans="8:9" ht="15.75" customHeight="1" x14ac:dyDescent="0.35">
      <c r="H153" s="90"/>
      <c r="I153" s="90"/>
    </row>
    <row r="154" spans="8:9" ht="15.75" customHeight="1" x14ac:dyDescent="0.35">
      <c r="H154" s="90"/>
      <c r="I154" s="90"/>
    </row>
    <row r="155" spans="8:9" ht="15.75" customHeight="1" x14ac:dyDescent="0.35">
      <c r="H155" s="90"/>
      <c r="I155" s="90"/>
    </row>
    <row r="156" spans="8:9" ht="15.75" customHeight="1" x14ac:dyDescent="0.35">
      <c r="H156" s="90"/>
      <c r="I156" s="90"/>
    </row>
    <row r="157" spans="8:9" ht="15.75" customHeight="1" x14ac:dyDescent="0.35">
      <c r="H157" s="90"/>
      <c r="I157" s="90"/>
    </row>
    <row r="158" spans="8:9" ht="15.75" customHeight="1" x14ac:dyDescent="0.35">
      <c r="H158" s="90"/>
      <c r="I158" s="90"/>
    </row>
    <row r="159" spans="8:9" ht="15.75" customHeight="1" x14ac:dyDescent="0.35">
      <c r="H159" s="90"/>
      <c r="I159" s="90"/>
    </row>
    <row r="160" spans="8:9" ht="15.75" customHeight="1" x14ac:dyDescent="0.35">
      <c r="H160" s="90"/>
      <c r="I160" s="90"/>
    </row>
    <row r="161" spans="8:9" ht="15.75" customHeight="1" x14ac:dyDescent="0.35">
      <c r="H161" s="90"/>
      <c r="I161" s="90"/>
    </row>
    <row r="162" spans="8:9" ht="15.75" customHeight="1" x14ac:dyDescent="0.35">
      <c r="H162" s="90"/>
      <c r="I162" s="90"/>
    </row>
    <row r="163" spans="8:9" ht="15.75" customHeight="1" x14ac:dyDescent="0.35">
      <c r="H163" s="90"/>
      <c r="I163" s="90"/>
    </row>
    <row r="164" spans="8:9" ht="15.75" customHeight="1" x14ac:dyDescent="0.35">
      <c r="H164" s="90"/>
      <c r="I164" s="90"/>
    </row>
    <row r="165" spans="8:9" ht="15.75" customHeight="1" x14ac:dyDescent="0.35">
      <c r="H165" s="90"/>
      <c r="I165" s="90"/>
    </row>
    <row r="166" spans="8:9" ht="15.75" customHeight="1" x14ac:dyDescent="0.35">
      <c r="H166" s="90"/>
      <c r="I166" s="90"/>
    </row>
    <row r="167" spans="8:9" ht="15.75" customHeight="1" x14ac:dyDescent="0.35">
      <c r="H167" s="90"/>
      <c r="I167" s="90"/>
    </row>
    <row r="168" spans="8:9" ht="15.75" customHeight="1" x14ac:dyDescent="0.35">
      <c r="H168" s="90"/>
      <c r="I168" s="90"/>
    </row>
    <row r="169" spans="8:9" ht="15.75" customHeight="1" x14ac:dyDescent="0.35">
      <c r="H169" s="90"/>
      <c r="I169" s="90"/>
    </row>
    <row r="170" spans="8:9" ht="15.75" customHeight="1" x14ac:dyDescent="0.35">
      <c r="H170" s="90"/>
      <c r="I170" s="90"/>
    </row>
    <row r="171" spans="8:9" ht="15.75" customHeight="1" x14ac:dyDescent="0.35">
      <c r="H171" s="90"/>
      <c r="I171" s="90"/>
    </row>
    <row r="172" spans="8:9" ht="15.75" customHeight="1" x14ac:dyDescent="0.35">
      <c r="H172" s="90"/>
      <c r="I172" s="90"/>
    </row>
    <row r="173" spans="8:9" ht="15.75" customHeight="1" x14ac:dyDescent="0.35">
      <c r="H173" s="90"/>
      <c r="I173" s="90"/>
    </row>
    <row r="174" spans="8:9" ht="15.75" customHeight="1" x14ac:dyDescent="0.35">
      <c r="H174" s="90"/>
      <c r="I174" s="90"/>
    </row>
    <row r="175" spans="8:9" ht="15.75" customHeight="1" x14ac:dyDescent="0.35">
      <c r="H175" s="90"/>
      <c r="I175" s="90"/>
    </row>
    <row r="176" spans="8:9" ht="15.75" customHeight="1" x14ac:dyDescent="0.35">
      <c r="H176" s="90"/>
      <c r="I176" s="90"/>
    </row>
    <row r="177" spans="8:9" ht="15.75" customHeight="1" x14ac:dyDescent="0.35">
      <c r="H177" s="90"/>
      <c r="I177" s="90"/>
    </row>
    <row r="178" spans="8:9" ht="15.75" customHeight="1" x14ac:dyDescent="0.35">
      <c r="H178" s="90"/>
      <c r="I178" s="90"/>
    </row>
    <row r="179" spans="8:9" ht="15.75" customHeight="1" x14ac:dyDescent="0.35">
      <c r="H179" s="90"/>
      <c r="I179" s="90"/>
    </row>
    <row r="180" spans="8:9" ht="15.75" customHeight="1" x14ac:dyDescent="0.35">
      <c r="H180" s="90"/>
      <c r="I180" s="90"/>
    </row>
    <row r="181" spans="8:9" ht="15.75" customHeight="1" x14ac:dyDescent="0.35">
      <c r="H181" s="90"/>
      <c r="I181" s="90"/>
    </row>
    <row r="182" spans="8:9" ht="15.75" customHeight="1" x14ac:dyDescent="0.35">
      <c r="H182" s="90"/>
      <c r="I182" s="90"/>
    </row>
    <row r="183" spans="8:9" ht="15.75" customHeight="1" x14ac:dyDescent="0.35">
      <c r="H183" s="90"/>
      <c r="I183" s="90"/>
    </row>
    <row r="184" spans="8:9" ht="15.75" customHeight="1" x14ac:dyDescent="0.35">
      <c r="H184" s="90"/>
      <c r="I184" s="90"/>
    </row>
    <row r="185" spans="8:9" ht="15.75" customHeight="1" x14ac:dyDescent="0.35">
      <c r="H185" s="90"/>
      <c r="I185" s="90"/>
    </row>
    <row r="186" spans="8:9" ht="15.75" customHeight="1" x14ac:dyDescent="0.35">
      <c r="H186" s="90"/>
      <c r="I186" s="90"/>
    </row>
    <row r="187" spans="8:9" ht="15.75" customHeight="1" x14ac:dyDescent="0.35">
      <c r="H187" s="90"/>
      <c r="I187" s="90"/>
    </row>
    <row r="188" spans="8:9" ht="15.75" customHeight="1" x14ac:dyDescent="0.35">
      <c r="H188" s="90"/>
      <c r="I188" s="90"/>
    </row>
    <row r="189" spans="8:9" ht="15.75" customHeight="1" x14ac:dyDescent="0.35">
      <c r="H189" s="90"/>
      <c r="I189" s="90"/>
    </row>
    <row r="190" spans="8:9" ht="15.75" customHeight="1" x14ac:dyDescent="0.35">
      <c r="H190" s="90"/>
      <c r="I190" s="90"/>
    </row>
    <row r="191" spans="8:9" ht="15.75" customHeight="1" x14ac:dyDescent="0.35">
      <c r="H191" s="90"/>
      <c r="I191" s="90"/>
    </row>
    <row r="192" spans="8:9" ht="15.75" customHeight="1" x14ac:dyDescent="0.35">
      <c r="H192" s="90"/>
      <c r="I192" s="90"/>
    </row>
    <row r="193" spans="8:9" ht="15.75" customHeight="1" x14ac:dyDescent="0.35">
      <c r="H193" s="90"/>
      <c r="I193" s="90"/>
    </row>
    <row r="194" spans="8:9" ht="15.75" customHeight="1" x14ac:dyDescent="0.35">
      <c r="H194" s="90"/>
      <c r="I194" s="90"/>
    </row>
    <row r="195" spans="8:9" ht="15.75" customHeight="1" x14ac:dyDescent="0.35">
      <c r="H195" s="90"/>
      <c r="I195" s="90"/>
    </row>
    <row r="196" spans="8:9" ht="15.75" customHeight="1" x14ac:dyDescent="0.35">
      <c r="H196" s="90"/>
      <c r="I196" s="90"/>
    </row>
    <row r="197" spans="8:9" ht="15.75" customHeight="1" x14ac:dyDescent="0.35">
      <c r="H197" s="90"/>
      <c r="I197" s="90"/>
    </row>
    <row r="198" spans="8:9" ht="15.75" customHeight="1" x14ac:dyDescent="0.35">
      <c r="H198" s="90"/>
      <c r="I198" s="90"/>
    </row>
    <row r="199" spans="8:9" ht="15.75" customHeight="1" x14ac:dyDescent="0.35">
      <c r="H199" s="90"/>
      <c r="I199" s="90"/>
    </row>
    <row r="200" spans="8:9" ht="15.75" customHeight="1" x14ac:dyDescent="0.35">
      <c r="H200" s="90"/>
      <c r="I200" s="90"/>
    </row>
    <row r="201" spans="8:9" ht="15.75" customHeight="1" x14ac:dyDescent="0.35">
      <c r="H201" s="90"/>
      <c r="I201" s="90"/>
    </row>
    <row r="202" spans="8:9" ht="15.75" customHeight="1" x14ac:dyDescent="0.35">
      <c r="H202" s="90"/>
      <c r="I202" s="90"/>
    </row>
    <row r="203" spans="8:9" ht="15.75" customHeight="1" x14ac:dyDescent="0.35">
      <c r="H203" s="90"/>
      <c r="I203" s="90"/>
    </row>
    <row r="204" spans="8:9" ht="15.75" customHeight="1" x14ac:dyDescent="0.35">
      <c r="H204" s="90"/>
      <c r="I204" s="90"/>
    </row>
    <row r="205" spans="8:9" ht="15.75" customHeight="1" x14ac:dyDescent="0.35">
      <c r="H205" s="90"/>
      <c r="I205" s="90"/>
    </row>
    <row r="206" spans="8:9" ht="15.75" customHeight="1" x14ac:dyDescent="0.35">
      <c r="H206" s="90"/>
      <c r="I206" s="90"/>
    </row>
    <row r="207" spans="8:9" ht="15.75" customHeight="1" x14ac:dyDescent="0.35">
      <c r="H207" s="90"/>
      <c r="I207" s="90"/>
    </row>
    <row r="208" spans="8:9" ht="15.75" customHeight="1" x14ac:dyDescent="0.35">
      <c r="H208" s="90"/>
      <c r="I208" s="90"/>
    </row>
    <row r="209" spans="8:9" ht="15.75" customHeight="1" x14ac:dyDescent="0.35">
      <c r="H209" s="90"/>
      <c r="I209" s="90"/>
    </row>
    <row r="210" spans="8:9" ht="15.75" customHeight="1" x14ac:dyDescent="0.35">
      <c r="H210" s="90"/>
      <c r="I210" s="90"/>
    </row>
    <row r="211" spans="8:9" ht="15.75" customHeight="1" x14ac:dyDescent="0.35">
      <c r="H211" s="90"/>
      <c r="I211" s="90"/>
    </row>
    <row r="212" spans="8:9" ht="15.75" customHeight="1" x14ac:dyDescent="0.35">
      <c r="H212" s="90"/>
      <c r="I212" s="90"/>
    </row>
    <row r="213" spans="8:9" ht="15.75" customHeight="1" x14ac:dyDescent="0.35">
      <c r="H213" s="90"/>
      <c r="I213" s="90"/>
    </row>
    <row r="214" spans="8:9" ht="15.75" customHeight="1" x14ac:dyDescent="0.35">
      <c r="H214" s="90"/>
      <c r="I214" s="90"/>
    </row>
    <row r="215" spans="8:9" ht="15.75" customHeight="1" x14ac:dyDescent="0.35">
      <c r="H215" s="90"/>
      <c r="I215" s="90"/>
    </row>
    <row r="216" spans="8:9" ht="15.75" customHeight="1" x14ac:dyDescent="0.35">
      <c r="H216" s="90"/>
      <c r="I216" s="90"/>
    </row>
    <row r="217" spans="8:9" ht="15.75" customHeight="1" x14ac:dyDescent="0.35">
      <c r="H217" s="90"/>
      <c r="I217" s="90"/>
    </row>
    <row r="218" spans="8:9" ht="15.75" customHeight="1" x14ac:dyDescent="0.35">
      <c r="H218" s="90"/>
      <c r="I218" s="90"/>
    </row>
    <row r="219" spans="8:9" ht="15.75" customHeight="1" x14ac:dyDescent="0.35">
      <c r="H219" s="90"/>
      <c r="I219" s="90"/>
    </row>
    <row r="220" spans="8:9" ht="15.75" customHeight="1" x14ac:dyDescent="0.35">
      <c r="H220" s="90"/>
      <c r="I220" s="90"/>
    </row>
    <row r="221" spans="8:9" ht="15.75" customHeight="1" x14ac:dyDescent="0.35">
      <c r="H221" s="90"/>
      <c r="I221" s="90"/>
    </row>
    <row r="222" spans="8:9" ht="15.75" customHeight="1" x14ac:dyDescent="0.35">
      <c r="H222" s="90"/>
      <c r="I222" s="90"/>
    </row>
    <row r="223" spans="8:9" ht="15.75" customHeight="1" x14ac:dyDescent="0.35">
      <c r="H223" s="90"/>
      <c r="I223" s="90"/>
    </row>
    <row r="224" spans="8:9" ht="15.75" customHeight="1" x14ac:dyDescent="0.35">
      <c r="H224" s="90"/>
      <c r="I224" s="90"/>
    </row>
    <row r="225" spans="8:9" ht="15.75" customHeight="1" x14ac:dyDescent="0.35">
      <c r="H225" s="90"/>
      <c r="I225" s="90"/>
    </row>
    <row r="226" spans="8:9" ht="15.75" customHeight="1" x14ac:dyDescent="0.35">
      <c r="H226" s="90"/>
      <c r="I226" s="90"/>
    </row>
    <row r="227" spans="8:9" ht="15.75" customHeight="1" x14ac:dyDescent="0.35">
      <c r="H227" s="90"/>
      <c r="I227" s="90"/>
    </row>
    <row r="228" spans="8:9" ht="15.75" customHeight="1" x14ac:dyDescent="0.35">
      <c r="H228" s="90"/>
      <c r="I228" s="90"/>
    </row>
    <row r="229" spans="8:9" ht="15.75" customHeight="1" x14ac:dyDescent="0.35">
      <c r="H229" s="90"/>
      <c r="I229" s="90"/>
    </row>
    <row r="230" spans="8:9" ht="15.75" customHeight="1" x14ac:dyDescent="0.35">
      <c r="H230" s="90"/>
      <c r="I230" s="90"/>
    </row>
    <row r="231" spans="8:9" ht="15.75" customHeight="1" x14ac:dyDescent="0.35">
      <c r="H231" s="90"/>
      <c r="I231" s="90"/>
    </row>
    <row r="232" spans="8:9" ht="15.75" customHeight="1" x14ac:dyDescent="0.35">
      <c r="H232" s="90"/>
      <c r="I232" s="90"/>
    </row>
    <row r="233" spans="8:9" ht="15.75" customHeight="1" x14ac:dyDescent="0.35">
      <c r="H233" s="90"/>
      <c r="I233" s="90"/>
    </row>
    <row r="234" spans="8:9" ht="15.75" customHeight="1" x14ac:dyDescent="0.35">
      <c r="H234" s="90"/>
      <c r="I234" s="90"/>
    </row>
    <row r="235" spans="8:9" ht="15.75" customHeight="1" x14ac:dyDescent="0.35">
      <c r="H235" s="90"/>
      <c r="I235" s="90"/>
    </row>
    <row r="236" spans="8:9" ht="15.75" customHeight="1" x14ac:dyDescent="0.35">
      <c r="H236" s="90"/>
      <c r="I236" s="90"/>
    </row>
    <row r="237" spans="8:9" ht="15.75" customHeight="1" x14ac:dyDescent="0.35">
      <c r="H237" s="90"/>
      <c r="I237" s="90"/>
    </row>
    <row r="238" spans="8:9" ht="15.75" customHeight="1" x14ac:dyDescent="0.35">
      <c r="H238" s="90"/>
      <c r="I238" s="90"/>
    </row>
    <row r="239" spans="8:9" ht="15.75" customHeight="1" x14ac:dyDescent="0.35">
      <c r="H239" s="90"/>
      <c r="I239" s="90"/>
    </row>
    <row r="240" spans="8:9" ht="15.75" customHeight="1" x14ac:dyDescent="0.35">
      <c r="H240" s="90"/>
      <c r="I240" s="90"/>
    </row>
    <row r="241" spans="8:9" ht="15.75" customHeight="1" x14ac:dyDescent="0.35">
      <c r="H241" s="90"/>
      <c r="I241" s="90"/>
    </row>
    <row r="242" spans="8:9" ht="15.75" customHeight="1" x14ac:dyDescent="0.35">
      <c r="H242" s="90"/>
      <c r="I242" s="90"/>
    </row>
    <row r="243" spans="8:9" ht="15.75" customHeight="1" x14ac:dyDescent="0.35">
      <c r="H243" s="90"/>
      <c r="I243" s="90"/>
    </row>
    <row r="244" spans="8:9" ht="15.75" customHeight="1" x14ac:dyDescent="0.35">
      <c r="H244" s="90"/>
      <c r="I244" s="90"/>
    </row>
    <row r="245" spans="8:9" ht="15.75" customHeight="1" x14ac:dyDescent="0.35">
      <c r="H245" s="90"/>
      <c r="I245" s="90"/>
    </row>
    <row r="246" spans="8:9" ht="15.75" customHeight="1" x14ac:dyDescent="0.35">
      <c r="H246" s="90"/>
      <c r="I246" s="90"/>
    </row>
    <row r="247" spans="8:9" ht="15.75" customHeight="1" x14ac:dyDescent="0.35">
      <c r="H247" s="90"/>
      <c r="I247" s="90"/>
    </row>
    <row r="248" spans="8:9" ht="15.75" customHeight="1" x14ac:dyDescent="0.35">
      <c r="H248" s="90"/>
      <c r="I248" s="90"/>
    </row>
    <row r="249" spans="8:9" ht="15.75" customHeight="1" x14ac:dyDescent="0.35">
      <c r="H249" s="90"/>
      <c r="I249" s="90"/>
    </row>
    <row r="250" spans="8:9" ht="15.75" customHeight="1" x14ac:dyDescent="0.35">
      <c r="H250" s="90"/>
      <c r="I250" s="90"/>
    </row>
    <row r="251" spans="8:9" ht="15.75" customHeight="1" x14ac:dyDescent="0.35">
      <c r="H251" s="90"/>
      <c r="I251" s="90"/>
    </row>
    <row r="252" spans="8:9" ht="15.75" customHeight="1" x14ac:dyDescent="0.35">
      <c r="H252" s="90"/>
      <c r="I252" s="90"/>
    </row>
    <row r="253" spans="8:9" ht="15.75" customHeight="1" x14ac:dyDescent="0.35">
      <c r="H253" s="90"/>
      <c r="I253" s="90"/>
    </row>
    <row r="254" spans="8:9" ht="15.75" customHeight="1" x14ac:dyDescent="0.35">
      <c r="H254" s="90"/>
      <c r="I254" s="90"/>
    </row>
    <row r="255" spans="8:9" ht="15.75" customHeight="1" x14ac:dyDescent="0.35">
      <c r="H255" s="90"/>
      <c r="I255" s="90"/>
    </row>
    <row r="256" spans="8:9" ht="15.75" customHeight="1" x14ac:dyDescent="0.35">
      <c r="H256" s="90"/>
      <c r="I256" s="90"/>
    </row>
    <row r="257" spans="8:9" ht="15.75" customHeight="1" x14ac:dyDescent="0.35">
      <c r="H257" s="90"/>
      <c r="I257" s="90"/>
    </row>
    <row r="258" spans="8:9" ht="15.75" customHeight="1" x14ac:dyDescent="0.35">
      <c r="H258" s="90"/>
      <c r="I258" s="90"/>
    </row>
    <row r="259" spans="8:9" ht="15.75" customHeight="1" x14ac:dyDescent="0.35">
      <c r="H259" s="90"/>
      <c r="I259" s="90"/>
    </row>
    <row r="260" spans="8:9" ht="15.75" customHeight="1" x14ac:dyDescent="0.35">
      <c r="H260" s="90"/>
      <c r="I260" s="90"/>
    </row>
    <row r="261" spans="8:9" ht="15.75" customHeight="1" x14ac:dyDescent="0.35">
      <c r="H261" s="90"/>
      <c r="I261" s="90"/>
    </row>
    <row r="262" spans="8:9" ht="15.75" customHeight="1" x14ac:dyDescent="0.35">
      <c r="H262" s="90"/>
      <c r="I262" s="90"/>
    </row>
    <row r="263" spans="8:9" ht="15.75" customHeight="1" x14ac:dyDescent="0.35">
      <c r="H263" s="90"/>
      <c r="I263" s="90"/>
    </row>
    <row r="264" spans="8:9" ht="15.75" customHeight="1" x14ac:dyDescent="0.35">
      <c r="H264" s="90"/>
      <c r="I264" s="90"/>
    </row>
    <row r="265" spans="8:9" ht="15.75" customHeight="1" x14ac:dyDescent="0.35">
      <c r="H265" s="90"/>
      <c r="I265" s="90"/>
    </row>
    <row r="266" spans="8:9" ht="15.75" customHeight="1" x14ac:dyDescent="0.35">
      <c r="H266" s="90"/>
      <c r="I266" s="90"/>
    </row>
    <row r="267" spans="8:9" ht="15.75" customHeight="1" x14ac:dyDescent="0.35">
      <c r="H267" s="90"/>
      <c r="I267" s="90"/>
    </row>
    <row r="268" spans="8:9" ht="15.75" customHeight="1" x14ac:dyDescent="0.35">
      <c r="H268" s="90"/>
      <c r="I268" s="90"/>
    </row>
    <row r="269" spans="8:9" ht="15.75" customHeight="1" x14ac:dyDescent="0.35">
      <c r="H269" s="90"/>
      <c r="I269" s="90"/>
    </row>
    <row r="270" spans="8:9" ht="15.75" customHeight="1" x14ac:dyDescent="0.35">
      <c r="H270" s="90"/>
      <c r="I270" s="90"/>
    </row>
    <row r="271" spans="8:9" ht="15.75" customHeight="1" x14ac:dyDescent="0.35">
      <c r="H271" s="90"/>
      <c r="I271" s="90"/>
    </row>
    <row r="272" spans="8:9" ht="15.75" customHeight="1" x14ac:dyDescent="0.35">
      <c r="H272" s="90"/>
      <c r="I272" s="90"/>
    </row>
    <row r="273" spans="8:9" ht="15.75" customHeight="1" x14ac:dyDescent="0.35">
      <c r="H273" s="90"/>
      <c r="I273" s="90"/>
    </row>
    <row r="274" spans="8:9" ht="15.75" customHeight="1" x14ac:dyDescent="0.35">
      <c r="H274" s="90"/>
      <c r="I274" s="90"/>
    </row>
    <row r="275" spans="8:9" ht="15.75" customHeight="1" x14ac:dyDescent="0.35">
      <c r="H275" s="90"/>
      <c r="I275" s="90"/>
    </row>
    <row r="276" spans="8:9" ht="15.75" customHeight="1" x14ac:dyDescent="0.35">
      <c r="H276" s="90"/>
      <c r="I276" s="90"/>
    </row>
    <row r="277" spans="8:9" ht="15.75" customHeight="1" x14ac:dyDescent="0.35">
      <c r="H277" s="90"/>
      <c r="I277" s="90"/>
    </row>
    <row r="278" spans="8:9" ht="15.75" customHeight="1" x14ac:dyDescent="0.35">
      <c r="H278" s="90"/>
      <c r="I278" s="90"/>
    </row>
    <row r="279" spans="8:9" ht="15.75" customHeight="1" x14ac:dyDescent="0.35">
      <c r="H279" s="90"/>
      <c r="I279" s="90"/>
    </row>
    <row r="280" spans="8:9" ht="15.75" customHeight="1" x14ac:dyDescent="0.35">
      <c r="H280" s="90"/>
      <c r="I280" s="90"/>
    </row>
    <row r="281" spans="8:9" ht="15.75" customHeight="1" x14ac:dyDescent="0.35">
      <c r="H281" s="90"/>
      <c r="I281" s="90"/>
    </row>
    <row r="282" spans="8:9" ht="15.75" customHeight="1" x14ac:dyDescent="0.35">
      <c r="H282" s="90"/>
      <c r="I282" s="90"/>
    </row>
    <row r="283" spans="8:9" ht="15.75" customHeight="1" x14ac:dyDescent="0.35">
      <c r="H283" s="90"/>
      <c r="I283" s="90"/>
    </row>
    <row r="284" spans="8:9" ht="15.75" customHeight="1" x14ac:dyDescent="0.35">
      <c r="H284" s="90"/>
      <c r="I284" s="90"/>
    </row>
    <row r="285" spans="8:9" ht="15.75" customHeight="1" x14ac:dyDescent="0.35">
      <c r="H285" s="90"/>
      <c r="I285" s="90"/>
    </row>
    <row r="286" spans="8:9" ht="15.75" customHeight="1" x14ac:dyDescent="0.35">
      <c r="H286" s="90"/>
      <c r="I286" s="90"/>
    </row>
    <row r="287" spans="8:9" ht="15.75" customHeight="1" x14ac:dyDescent="0.35">
      <c r="H287" s="90"/>
      <c r="I287" s="90"/>
    </row>
    <row r="288" spans="8:9" ht="15.75" customHeight="1" x14ac:dyDescent="0.35">
      <c r="H288" s="90"/>
      <c r="I288" s="90"/>
    </row>
    <row r="289" spans="8:9" ht="15.75" customHeight="1" x14ac:dyDescent="0.35">
      <c r="H289" s="90"/>
      <c r="I289" s="90"/>
    </row>
    <row r="290" spans="8:9" ht="15.75" customHeight="1" x14ac:dyDescent="0.35">
      <c r="H290" s="90"/>
      <c r="I290" s="90"/>
    </row>
    <row r="291" spans="8:9" ht="15.75" customHeight="1" x14ac:dyDescent="0.35">
      <c r="H291" s="90"/>
      <c r="I291" s="90"/>
    </row>
    <row r="292" spans="8:9" ht="15.75" customHeight="1" x14ac:dyDescent="0.35">
      <c r="H292" s="90"/>
      <c r="I292" s="90"/>
    </row>
    <row r="293" spans="8:9" ht="15.75" customHeight="1" x14ac:dyDescent="0.35">
      <c r="H293" s="90"/>
      <c r="I293" s="90"/>
    </row>
    <row r="294" spans="8:9" ht="15.75" customHeight="1" x14ac:dyDescent="0.35">
      <c r="H294" s="90"/>
      <c r="I294" s="90"/>
    </row>
    <row r="295" spans="8:9" ht="15.75" customHeight="1" x14ac:dyDescent="0.35">
      <c r="H295" s="90"/>
      <c r="I295" s="90"/>
    </row>
    <row r="296" spans="8:9" ht="15.75" customHeight="1" x14ac:dyDescent="0.35">
      <c r="H296" s="90"/>
      <c r="I296" s="90"/>
    </row>
    <row r="297" spans="8:9" ht="15.75" customHeight="1" x14ac:dyDescent="0.35">
      <c r="H297" s="90"/>
      <c r="I297" s="90"/>
    </row>
    <row r="298" spans="8:9" ht="15.75" customHeight="1" x14ac:dyDescent="0.35">
      <c r="H298" s="90"/>
      <c r="I298" s="90"/>
    </row>
    <row r="299" spans="8:9" ht="15.75" customHeight="1" x14ac:dyDescent="0.35">
      <c r="H299" s="90"/>
      <c r="I299" s="90"/>
    </row>
    <row r="300" spans="8:9" ht="15.75" customHeight="1" x14ac:dyDescent="0.35">
      <c r="H300" s="90"/>
      <c r="I300" s="90"/>
    </row>
    <row r="301" spans="8:9" ht="15.75" customHeight="1" x14ac:dyDescent="0.35">
      <c r="H301" s="90"/>
      <c r="I301" s="90"/>
    </row>
    <row r="302" spans="8:9" ht="15.75" customHeight="1" x14ac:dyDescent="0.35">
      <c r="H302" s="90"/>
      <c r="I302" s="90"/>
    </row>
    <row r="303" spans="8:9" ht="15.75" customHeight="1" x14ac:dyDescent="0.35">
      <c r="H303" s="90"/>
      <c r="I303" s="90"/>
    </row>
    <row r="304" spans="8:9" ht="15.75" customHeight="1" x14ac:dyDescent="0.35">
      <c r="H304" s="90"/>
      <c r="I304" s="90"/>
    </row>
    <row r="305" spans="8:9" ht="15.75" customHeight="1" x14ac:dyDescent="0.35">
      <c r="H305" s="90"/>
      <c r="I305" s="90"/>
    </row>
    <row r="306" spans="8:9" ht="15.75" customHeight="1" x14ac:dyDescent="0.35">
      <c r="H306" s="90"/>
      <c r="I306" s="90"/>
    </row>
    <row r="307" spans="8:9" ht="15.75" customHeight="1" x14ac:dyDescent="0.35">
      <c r="H307" s="90"/>
      <c r="I307" s="90"/>
    </row>
    <row r="308" spans="8:9" ht="15.75" customHeight="1" x14ac:dyDescent="0.35">
      <c r="H308" s="90"/>
      <c r="I308" s="90"/>
    </row>
    <row r="309" spans="8:9" ht="15.75" customHeight="1" x14ac:dyDescent="0.35">
      <c r="H309" s="90"/>
      <c r="I309" s="90"/>
    </row>
    <row r="310" spans="8:9" ht="15.75" customHeight="1" x14ac:dyDescent="0.35">
      <c r="H310" s="90"/>
      <c r="I310" s="90"/>
    </row>
    <row r="311" spans="8:9" ht="15.75" customHeight="1" x14ac:dyDescent="0.35">
      <c r="H311" s="90"/>
      <c r="I311" s="90"/>
    </row>
    <row r="312" spans="8:9" ht="15.75" customHeight="1" x14ac:dyDescent="0.35">
      <c r="H312" s="90"/>
      <c r="I312" s="90"/>
    </row>
    <row r="313" spans="8:9" ht="15.75" customHeight="1" x14ac:dyDescent="0.35">
      <c r="H313" s="90"/>
      <c r="I313" s="90"/>
    </row>
    <row r="314" spans="8:9" ht="15.75" customHeight="1" x14ac:dyDescent="0.35">
      <c r="H314" s="90"/>
      <c r="I314" s="90"/>
    </row>
    <row r="315" spans="8:9" ht="15.75" customHeight="1" x14ac:dyDescent="0.35">
      <c r="H315" s="90"/>
      <c r="I315" s="90"/>
    </row>
    <row r="316" spans="8:9" ht="15.75" customHeight="1" x14ac:dyDescent="0.35">
      <c r="H316" s="90"/>
      <c r="I316" s="90"/>
    </row>
    <row r="317" spans="8:9" ht="15.75" customHeight="1" x14ac:dyDescent="0.35">
      <c r="H317" s="90"/>
      <c r="I317" s="90"/>
    </row>
    <row r="318" spans="8:9" ht="15.75" customHeight="1" x14ac:dyDescent="0.35">
      <c r="H318" s="90"/>
      <c r="I318" s="90"/>
    </row>
    <row r="319" spans="8:9" ht="15.75" customHeight="1" x14ac:dyDescent="0.35">
      <c r="H319" s="90"/>
      <c r="I319" s="90"/>
    </row>
    <row r="320" spans="8:9" ht="15.75" customHeight="1" x14ac:dyDescent="0.35">
      <c r="H320" s="90"/>
      <c r="I320" s="90"/>
    </row>
    <row r="321" spans="8:9" ht="15.75" customHeight="1" x14ac:dyDescent="0.35">
      <c r="H321" s="90"/>
      <c r="I321" s="90"/>
    </row>
    <row r="322" spans="8:9" ht="15.75" customHeight="1" x14ac:dyDescent="0.35">
      <c r="H322" s="90"/>
      <c r="I322" s="90"/>
    </row>
    <row r="323" spans="8:9" ht="15.75" customHeight="1" x14ac:dyDescent="0.35">
      <c r="H323" s="90"/>
      <c r="I323" s="90"/>
    </row>
    <row r="324" spans="8:9" ht="15.75" customHeight="1" x14ac:dyDescent="0.35">
      <c r="H324" s="90"/>
      <c r="I324" s="90"/>
    </row>
    <row r="325" spans="8:9" ht="15.75" customHeight="1" x14ac:dyDescent="0.35">
      <c r="H325" s="90"/>
      <c r="I325" s="90"/>
    </row>
    <row r="326" spans="8:9" ht="15.75" customHeight="1" x14ac:dyDescent="0.35">
      <c r="H326" s="90"/>
      <c r="I326" s="90"/>
    </row>
    <row r="327" spans="8:9" ht="15.75" customHeight="1" x14ac:dyDescent="0.35">
      <c r="H327" s="90"/>
      <c r="I327" s="90"/>
    </row>
    <row r="328" spans="8:9" ht="15.75" customHeight="1" x14ac:dyDescent="0.35">
      <c r="H328" s="90"/>
      <c r="I328" s="90"/>
    </row>
    <row r="329" spans="8:9" ht="15.75" customHeight="1" x14ac:dyDescent="0.35">
      <c r="H329" s="90"/>
      <c r="I329" s="90"/>
    </row>
    <row r="330" spans="8:9" ht="15.75" customHeight="1" x14ac:dyDescent="0.35">
      <c r="H330" s="90"/>
      <c r="I330" s="90"/>
    </row>
    <row r="331" spans="8:9" ht="15.75" customHeight="1" x14ac:dyDescent="0.35">
      <c r="H331" s="90"/>
      <c r="I331" s="90"/>
    </row>
    <row r="332" spans="8:9" ht="15.75" customHeight="1" x14ac:dyDescent="0.35">
      <c r="H332" s="90"/>
      <c r="I332" s="90"/>
    </row>
    <row r="333" spans="8:9" ht="15.75" customHeight="1" x14ac:dyDescent="0.35">
      <c r="H333" s="90"/>
      <c r="I333" s="90"/>
    </row>
    <row r="334" spans="8:9" ht="15.75" customHeight="1" x14ac:dyDescent="0.35">
      <c r="H334" s="90"/>
      <c r="I334" s="90"/>
    </row>
    <row r="335" spans="8:9" ht="15.75" customHeight="1" x14ac:dyDescent="0.35">
      <c r="H335" s="90"/>
      <c r="I335" s="90"/>
    </row>
    <row r="336" spans="8:9" ht="15.75" customHeight="1" x14ac:dyDescent="0.35">
      <c r="H336" s="90"/>
      <c r="I336" s="90"/>
    </row>
    <row r="337" spans="8:9" ht="15.75" customHeight="1" x14ac:dyDescent="0.35">
      <c r="H337" s="90"/>
      <c r="I337" s="90"/>
    </row>
    <row r="338" spans="8:9" ht="15.75" customHeight="1" x14ac:dyDescent="0.35">
      <c r="H338" s="90"/>
      <c r="I338" s="90"/>
    </row>
    <row r="339" spans="8:9" ht="15.75" customHeight="1" x14ac:dyDescent="0.35">
      <c r="H339" s="90"/>
      <c r="I339" s="90"/>
    </row>
    <row r="340" spans="8:9" ht="15.75" customHeight="1" x14ac:dyDescent="0.35">
      <c r="H340" s="90"/>
      <c r="I340" s="90"/>
    </row>
    <row r="341" spans="8:9" ht="15.75" customHeight="1" x14ac:dyDescent="0.35">
      <c r="H341" s="90"/>
      <c r="I341" s="90"/>
    </row>
    <row r="342" spans="8:9" ht="15.75" customHeight="1" x14ac:dyDescent="0.35">
      <c r="H342" s="90"/>
      <c r="I342" s="90"/>
    </row>
    <row r="343" spans="8:9" ht="15.75" customHeight="1" x14ac:dyDescent="0.35">
      <c r="H343" s="90"/>
      <c r="I343" s="90"/>
    </row>
    <row r="344" spans="8:9" ht="15.75" customHeight="1" x14ac:dyDescent="0.35">
      <c r="H344" s="90"/>
      <c r="I344" s="90"/>
    </row>
    <row r="345" spans="8:9" ht="15.75" customHeight="1" x14ac:dyDescent="0.35">
      <c r="H345" s="90"/>
      <c r="I345" s="90"/>
    </row>
    <row r="346" spans="8:9" ht="15.75" customHeight="1" x14ac:dyDescent="0.35">
      <c r="H346" s="90"/>
      <c r="I346" s="90"/>
    </row>
    <row r="347" spans="8:9" ht="15.75" customHeight="1" x14ac:dyDescent="0.35">
      <c r="H347" s="90"/>
      <c r="I347" s="90"/>
    </row>
    <row r="348" spans="8:9" ht="15.75" customHeight="1" x14ac:dyDescent="0.35">
      <c r="H348" s="90"/>
      <c r="I348" s="90"/>
    </row>
    <row r="349" spans="8:9" ht="15.75" customHeight="1" x14ac:dyDescent="0.35">
      <c r="H349" s="90"/>
      <c r="I349" s="90"/>
    </row>
    <row r="350" spans="8:9" ht="15.75" customHeight="1" x14ac:dyDescent="0.35">
      <c r="H350" s="90"/>
      <c r="I350" s="90"/>
    </row>
    <row r="351" spans="8:9" ht="15.75" customHeight="1" x14ac:dyDescent="0.35">
      <c r="H351" s="90"/>
      <c r="I351" s="90"/>
    </row>
    <row r="352" spans="8:9" ht="15.75" customHeight="1" x14ac:dyDescent="0.35">
      <c r="H352" s="90"/>
      <c r="I352" s="90"/>
    </row>
    <row r="353" spans="8:9" ht="15.75" customHeight="1" x14ac:dyDescent="0.35">
      <c r="H353" s="90"/>
      <c r="I353" s="90"/>
    </row>
    <row r="354" spans="8:9" ht="15.75" customHeight="1" x14ac:dyDescent="0.35">
      <c r="H354" s="90"/>
      <c r="I354" s="90"/>
    </row>
    <row r="355" spans="8:9" ht="15.75" customHeight="1" x14ac:dyDescent="0.35">
      <c r="H355" s="90"/>
      <c r="I355" s="90"/>
    </row>
    <row r="356" spans="8:9" ht="15.75" customHeight="1" x14ac:dyDescent="0.35">
      <c r="H356" s="90"/>
      <c r="I356" s="90"/>
    </row>
    <row r="357" spans="8:9" ht="15.75" customHeight="1" x14ac:dyDescent="0.35">
      <c r="H357" s="90"/>
      <c r="I357" s="90"/>
    </row>
    <row r="358" spans="8:9" ht="15.75" customHeight="1" x14ac:dyDescent="0.35">
      <c r="H358" s="90"/>
      <c r="I358" s="90"/>
    </row>
    <row r="359" spans="8:9" ht="15.75" customHeight="1" x14ac:dyDescent="0.35">
      <c r="H359" s="90"/>
      <c r="I359" s="90"/>
    </row>
    <row r="360" spans="8:9" ht="15.75" customHeight="1" x14ac:dyDescent="0.35">
      <c r="H360" s="90"/>
      <c r="I360" s="90"/>
    </row>
    <row r="361" spans="8:9" ht="15.75" customHeight="1" x14ac:dyDescent="0.35">
      <c r="H361" s="90"/>
      <c r="I361" s="90"/>
    </row>
    <row r="362" spans="8:9" ht="15.75" customHeight="1" x14ac:dyDescent="0.35">
      <c r="H362" s="90"/>
      <c r="I362" s="90"/>
    </row>
    <row r="363" spans="8:9" ht="15.75" customHeight="1" x14ac:dyDescent="0.35">
      <c r="H363" s="90"/>
      <c r="I363" s="90"/>
    </row>
    <row r="364" spans="8:9" ht="15.75" customHeight="1" x14ac:dyDescent="0.35">
      <c r="H364" s="90"/>
      <c r="I364" s="90"/>
    </row>
    <row r="365" spans="8:9" ht="15.75" customHeight="1" x14ac:dyDescent="0.35">
      <c r="H365" s="90"/>
      <c r="I365" s="90"/>
    </row>
    <row r="366" spans="8:9" ht="15.75" customHeight="1" x14ac:dyDescent="0.35">
      <c r="H366" s="90"/>
      <c r="I366" s="90"/>
    </row>
    <row r="367" spans="8:9" ht="15.75" customHeight="1" x14ac:dyDescent="0.35">
      <c r="H367" s="90"/>
      <c r="I367" s="90"/>
    </row>
    <row r="368" spans="8:9" ht="15.75" customHeight="1" x14ac:dyDescent="0.35">
      <c r="H368" s="90"/>
      <c r="I368" s="90"/>
    </row>
    <row r="369" spans="8:9" ht="15.75" customHeight="1" x14ac:dyDescent="0.35">
      <c r="H369" s="90"/>
      <c r="I369" s="90"/>
    </row>
    <row r="370" spans="8:9" ht="15.75" customHeight="1" x14ac:dyDescent="0.35">
      <c r="H370" s="90"/>
      <c r="I370" s="90"/>
    </row>
    <row r="371" spans="8:9" ht="15.75" customHeight="1" x14ac:dyDescent="0.35">
      <c r="H371" s="90"/>
      <c r="I371" s="90"/>
    </row>
    <row r="372" spans="8:9" ht="15.75" customHeight="1" x14ac:dyDescent="0.35">
      <c r="H372" s="90"/>
      <c r="I372" s="90"/>
    </row>
    <row r="373" spans="8:9" ht="15.75" customHeight="1" x14ac:dyDescent="0.35">
      <c r="H373" s="90"/>
      <c r="I373" s="90"/>
    </row>
    <row r="374" spans="8:9" ht="15.75" customHeight="1" x14ac:dyDescent="0.35">
      <c r="H374" s="90"/>
      <c r="I374" s="90"/>
    </row>
    <row r="375" spans="8:9" ht="15.75" customHeight="1" x14ac:dyDescent="0.35">
      <c r="H375" s="90"/>
      <c r="I375" s="90"/>
    </row>
    <row r="376" spans="8:9" ht="15.75" customHeight="1" x14ac:dyDescent="0.35">
      <c r="H376" s="90"/>
      <c r="I376" s="90"/>
    </row>
    <row r="377" spans="8:9" ht="15.75" customHeight="1" x14ac:dyDescent="0.35">
      <c r="H377" s="90"/>
      <c r="I377" s="90"/>
    </row>
    <row r="378" spans="8:9" ht="15.75" customHeight="1" x14ac:dyDescent="0.35">
      <c r="H378" s="90"/>
      <c r="I378" s="90"/>
    </row>
    <row r="379" spans="8:9" ht="15.75" customHeight="1" x14ac:dyDescent="0.35">
      <c r="H379" s="90"/>
      <c r="I379" s="90"/>
    </row>
    <row r="380" spans="8:9" ht="15.75" customHeight="1" x14ac:dyDescent="0.35">
      <c r="H380" s="90"/>
      <c r="I380" s="90"/>
    </row>
    <row r="381" spans="8:9" ht="15.75" customHeight="1" x14ac:dyDescent="0.35">
      <c r="H381" s="90"/>
      <c r="I381" s="90"/>
    </row>
    <row r="382" spans="8:9" ht="15.75" customHeight="1" x14ac:dyDescent="0.35">
      <c r="H382" s="90"/>
      <c r="I382" s="90"/>
    </row>
    <row r="383" spans="8:9" ht="15.75" customHeight="1" x14ac:dyDescent="0.35">
      <c r="H383" s="90"/>
      <c r="I383" s="90"/>
    </row>
    <row r="384" spans="8:9" ht="15.75" customHeight="1" x14ac:dyDescent="0.35">
      <c r="H384" s="90"/>
      <c r="I384" s="90"/>
    </row>
    <row r="385" spans="8:9" ht="15.75" customHeight="1" x14ac:dyDescent="0.35">
      <c r="H385" s="90"/>
      <c r="I385" s="90"/>
    </row>
    <row r="386" spans="8:9" ht="15.75" customHeight="1" x14ac:dyDescent="0.35">
      <c r="H386" s="90"/>
      <c r="I386" s="90"/>
    </row>
    <row r="387" spans="8:9" ht="15.75" customHeight="1" x14ac:dyDescent="0.35">
      <c r="H387" s="90"/>
      <c r="I387" s="90"/>
    </row>
    <row r="388" spans="8:9" ht="15.75" customHeight="1" x14ac:dyDescent="0.35">
      <c r="H388" s="90"/>
      <c r="I388" s="90"/>
    </row>
    <row r="389" spans="8:9" ht="15.75" customHeight="1" x14ac:dyDescent="0.35">
      <c r="H389" s="90"/>
      <c r="I389" s="90"/>
    </row>
    <row r="390" spans="8:9" ht="15.75" customHeight="1" x14ac:dyDescent="0.35">
      <c r="H390" s="90"/>
      <c r="I390" s="90"/>
    </row>
    <row r="391" spans="8:9" ht="15.75" customHeight="1" x14ac:dyDescent="0.35">
      <c r="H391" s="90"/>
      <c r="I391" s="90"/>
    </row>
    <row r="392" spans="8:9" ht="15.75" customHeight="1" x14ac:dyDescent="0.35">
      <c r="H392" s="90"/>
      <c r="I392" s="90"/>
    </row>
    <row r="393" spans="8:9" ht="15.75" customHeight="1" x14ac:dyDescent="0.35">
      <c r="H393" s="90"/>
      <c r="I393" s="90"/>
    </row>
    <row r="394" spans="8:9" ht="15.75" customHeight="1" x14ac:dyDescent="0.35">
      <c r="H394" s="90"/>
      <c r="I394" s="90"/>
    </row>
    <row r="395" spans="8:9" ht="15.75" customHeight="1" x14ac:dyDescent="0.35">
      <c r="H395" s="90"/>
      <c r="I395" s="90"/>
    </row>
    <row r="396" spans="8:9" ht="15.75" customHeight="1" x14ac:dyDescent="0.35">
      <c r="H396" s="90"/>
      <c r="I396" s="90"/>
    </row>
    <row r="397" spans="8:9" ht="15.75" customHeight="1" x14ac:dyDescent="0.35">
      <c r="H397" s="90"/>
      <c r="I397" s="90"/>
    </row>
    <row r="398" spans="8:9" ht="15.75" customHeight="1" x14ac:dyDescent="0.35">
      <c r="H398" s="90"/>
      <c r="I398" s="90"/>
    </row>
    <row r="399" spans="8:9" ht="15.75" customHeight="1" x14ac:dyDescent="0.35">
      <c r="H399" s="90"/>
      <c r="I399" s="90"/>
    </row>
    <row r="400" spans="8:9" ht="15.75" customHeight="1" x14ac:dyDescent="0.35">
      <c r="H400" s="90"/>
      <c r="I400" s="90"/>
    </row>
    <row r="401" spans="8:9" ht="15.75" customHeight="1" x14ac:dyDescent="0.35">
      <c r="H401" s="90"/>
      <c r="I401" s="90"/>
    </row>
    <row r="402" spans="8:9" ht="15.75" customHeight="1" x14ac:dyDescent="0.35">
      <c r="H402" s="90"/>
      <c r="I402" s="90"/>
    </row>
    <row r="403" spans="8:9" ht="15.75" customHeight="1" x14ac:dyDescent="0.35">
      <c r="H403" s="90"/>
      <c r="I403" s="90"/>
    </row>
    <row r="404" spans="8:9" ht="15.75" customHeight="1" x14ac:dyDescent="0.35">
      <c r="H404" s="90"/>
      <c r="I404" s="90"/>
    </row>
    <row r="405" spans="8:9" ht="15.75" customHeight="1" x14ac:dyDescent="0.35">
      <c r="H405" s="90"/>
      <c r="I405" s="90"/>
    </row>
    <row r="406" spans="8:9" ht="15.75" customHeight="1" x14ac:dyDescent="0.35">
      <c r="H406" s="90"/>
      <c r="I406" s="90"/>
    </row>
    <row r="407" spans="8:9" ht="15.75" customHeight="1" x14ac:dyDescent="0.35">
      <c r="H407" s="90"/>
      <c r="I407" s="90"/>
    </row>
    <row r="408" spans="8:9" ht="15.75" customHeight="1" x14ac:dyDescent="0.35">
      <c r="H408" s="90"/>
      <c r="I408" s="90"/>
    </row>
    <row r="409" spans="8:9" ht="15.75" customHeight="1" x14ac:dyDescent="0.35">
      <c r="H409" s="90"/>
      <c r="I409" s="90"/>
    </row>
    <row r="410" spans="8:9" ht="15.75" customHeight="1" x14ac:dyDescent="0.35">
      <c r="H410" s="90"/>
      <c r="I410" s="90"/>
    </row>
    <row r="411" spans="8:9" ht="15.75" customHeight="1" x14ac:dyDescent="0.35">
      <c r="H411" s="90"/>
      <c r="I411" s="90"/>
    </row>
    <row r="412" spans="8:9" ht="15.75" customHeight="1" x14ac:dyDescent="0.35">
      <c r="H412" s="90"/>
      <c r="I412" s="90"/>
    </row>
    <row r="413" spans="8:9" ht="15.75" customHeight="1" x14ac:dyDescent="0.35">
      <c r="H413" s="90"/>
      <c r="I413" s="90"/>
    </row>
    <row r="414" spans="8:9" ht="15.75" customHeight="1" x14ac:dyDescent="0.35">
      <c r="H414" s="90"/>
      <c r="I414" s="90"/>
    </row>
    <row r="415" spans="8:9" ht="15.75" customHeight="1" x14ac:dyDescent="0.35">
      <c r="H415" s="90"/>
      <c r="I415" s="90"/>
    </row>
    <row r="416" spans="8:9" ht="15.75" customHeight="1" x14ac:dyDescent="0.35">
      <c r="H416" s="90"/>
      <c r="I416" s="90"/>
    </row>
    <row r="417" spans="8:9" ht="15.75" customHeight="1" x14ac:dyDescent="0.35">
      <c r="H417" s="90"/>
      <c r="I417" s="90"/>
    </row>
    <row r="418" spans="8:9" ht="15.75" customHeight="1" x14ac:dyDescent="0.35">
      <c r="H418" s="90"/>
      <c r="I418" s="90"/>
    </row>
    <row r="419" spans="8:9" ht="15.75" customHeight="1" x14ac:dyDescent="0.35">
      <c r="H419" s="90"/>
      <c r="I419" s="90"/>
    </row>
    <row r="420" spans="8:9" ht="15.75" customHeight="1" x14ac:dyDescent="0.35">
      <c r="H420" s="90"/>
      <c r="I420" s="90"/>
    </row>
    <row r="421" spans="8:9" ht="15.75" customHeight="1" x14ac:dyDescent="0.35">
      <c r="H421" s="90"/>
      <c r="I421" s="90"/>
    </row>
    <row r="422" spans="8:9" ht="15.75" customHeight="1" x14ac:dyDescent="0.35">
      <c r="H422" s="90"/>
      <c r="I422" s="90"/>
    </row>
    <row r="423" spans="8:9" ht="15.75" customHeight="1" x14ac:dyDescent="0.35">
      <c r="H423" s="90"/>
      <c r="I423" s="90"/>
    </row>
    <row r="424" spans="8:9" ht="15.75" customHeight="1" x14ac:dyDescent="0.35">
      <c r="H424" s="90"/>
      <c r="I424" s="90"/>
    </row>
    <row r="425" spans="8:9" ht="15.75" customHeight="1" x14ac:dyDescent="0.35">
      <c r="H425" s="90"/>
      <c r="I425" s="90"/>
    </row>
    <row r="426" spans="8:9" ht="15.75" customHeight="1" x14ac:dyDescent="0.35">
      <c r="H426" s="90"/>
      <c r="I426" s="90"/>
    </row>
    <row r="427" spans="8:9" ht="15.75" customHeight="1" x14ac:dyDescent="0.35">
      <c r="H427" s="90"/>
      <c r="I427" s="90"/>
    </row>
    <row r="428" spans="8:9" ht="15.75" customHeight="1" x14ac:dyDescent="0.35">
      <c r="H428" s="90"/>
      <c r="I428" s="90"/>
    </row>
    <row r="429" spans="8:9" ht="15.75" customHeight="1" x14ac:dyDescent="0.35">
      <c r="H429" s="90"/>
      <c r="I429" s="90"/>
    </row>
    <row r="430" spans="8:9" ht="15.75" customHeight="1" x14ac:dyDescent="0.35">
      <c r="H430" s="90"/>
      <c r="I430" s="90"/>
    </row>
    <row r="431" spans="8:9" ht="15.75" customHeight="1" x14ac:dyDescent="0.35">
      <c r="H431" s="90"/>
      <c r="I431" s="90"/>
    </row>
    <row r="432" spans="8:9" ht="15.75" customHeight="1" x14ac:dyDescent="0.35">
      <c r="H432" s="90"/>
      <c r="I432" s="90"/>
    </row>
    <row r="433" spans="8:9" ht="15.75" customHeight="1" x14ac:dyDescent="0.35">
      <c r="H433" s="90"/>
      <c r="I433" s="90"/>
    </row>
    <row r="434" spans="8:9" ht="15.75" customHeight="1" x14ac:dyDescent="0.35">
      <c r="H434" s="90"/>
      <c r="I434" s="90"/>
    </row>
    <row r="435" spans="8:9" ht="15.75" customHeight="1" x14ac:dyDescent="0.35">
      <c r="H435" s="90"/>
      <c r="I435" s="90"/>
    </row>
    <row r="436" spans="8:9" ht="15.75" customHeight="1" x14ac:dyDescent="0.35">
      <c r="H436" s="90"/>
      <c r="I436" s="90"/>
    </row>
    <row r="437" spans="8:9" ht="15.75" customHeight="1" x14ac:dyDescent="0.35">
      <c r="H437" s="90"/>
      <c r="I437" s="90"/>
    </row>
    <row r="438" spans="8:9" ht="15.75" customHeight="1" x14ac:dyDescent="0.35">
      <c r="H438" s="90"/>
      <c r="I438" s="90"/>
    </row>
    <row r="439" spans="8:9" ht="15.75" customHeight="1" x14ac:dyDescent="0.35">
      <c r="H439" s="90"/>
      <c r="I439" s="90"/>
    </row>
    <row r="440" spans="8:9" ht="15.75" customHeight="1" x14ac:dyDescent="0.35">
      <c r="H440" s="90"/>
      <c r="I440" s="90"/>
    </row>
    <row r="441" spans="8:9" ht="15.75" customHeight="1" x14ac:dyDescent="0.35">
      <c r="H441" s="90"/>
      <c r="I441" s="90"/>
    </row>
    <row r="442" spans="8:9" ht="15.75" customHeight="1" x14ac:dyDescent="0.35">
      <c r="H442" s="90"/>
      <c r="I442" s="90"/>
    </row>
    <row r="443" spans="8:9" ht="15.75" customHeight="1" x14ac:dyDescent="0.35">
      <c r="H443" s="90"/>
      <c r="I443" s="90"/>
    </row>
    <row r="444" spans="8:9" ht="15.75" customHeight="1" x14ac:dyDescent="0.35">
      <c r="H444" s="90"/>
      <c r="I444" s="90"/>
    </row>
    <row r="445" spans="8:9" ht="15.75" customHeight="1" x14ac:dyDescent="0.35">
      <c r="H445" s="90"/>
      <c r="I445" s="90"/>
    </row>
    <row r="446" spans="8:9" ht="15.75" customHeight="1" x14ac:dyDescent="0.35">
      <c r="H446" s="90"/>
      <c r="I446" s="90"/>
    </row>
    <row r="447" spans="8:9" ht="15.75" customHeight="1" x14ac:dyDescent="0.35">
      <c r="H447" s="90"/>
      <c r="I447" s="90"/>
    </row>
    <row r="448" spans="8:9" ht="15.75" customHeight="1" x14ac:dyDescent="0.35">
      <c r="H448" s="90"/>
      <c r="I448" s="90"/>
    </row>
    <row r="449" spans="8:9" ht="15.75" customHeight="1" x14ac:dyDescent="0.35">
      <c r="H449" s="90"/>
      <c r="I449" s="90"/>
    </row>
    <row r="450" spans="8:9" ht="15.75" customHeight="1" x14ac:dyDescent="0.35">
      <c r="H450" s="90"/>
      <c r="I450" s="90"/>
    </row>
    <row r="451" spans="8:9" ht="15.75" customHeight="1" x14ac:dyDescent="0.35">
      <c r="H451" s="90"/>
      <c r="I451" s="90"/>
    </row>
    <row r="452" spans="8:9" ht="15.75" customHeight="1" x14ac:dyDescent="0.35">
      <c r="H452" s="90"/>
      <c r="I452" s="90"/>
    </row>
    <row r="453" spans="8:9" ht="15.75" customHeight="1" x14ac:dyDescent="0.35">
      <c r="H453" s="90"/>
      <c r="I453" s="90"/>
    </row>
    <row r="454" spans="8:9" ht="15.75" customHeight="1" x14ac:dyDescent="0.35">
      <c r="H454" s="90"/>
      <c r="I454" s="90"/>
    </row>
    <row r="455" spans="8:9" ht="15.75" customHeight="1" x14ac:dyDescent="0.35">
      <c r="H455" s="90"/>
      <c r="I455" s="90"/>
    </row>
    <row r="456" spans="8:9" ht="15.75" customHeight="1" x14ac:dyDescent="0.35">
      <c r="H456" s="90"/>
      <c r="I456" s="90"/>
    </row>
    <row r="457" spans="8:9" ht="15.75" customHeight="1" x14ac:dyDescent="0.35">
      <c r="H457" s="90"/>
      <c r="I457" s="90"/>
    </row>
    <row r="458" spans="8:9" ht="15.75" customHeight="1" x14ac:dyDescent="0.35">
      <c r="H458" s="90"/>
      <c r="I458" s="90"/>
    </row>
    <row r="459" spans="8:9" ht="15.75" customHeight="1" x14ac:dyDescent="0.35">
      <c r="H459" s="90"/>
      <c r="I459" s="90"/>
    </row>
    <row r="460" spans="8:9" ht="15.75" customHeight="1" x14ac:dyDescent="0.35">
      <c r="H460" s="90"/>
      <c r="I460" s="90"/>
    </row>
    <row r="461" spans="8:9" ht="15.75" customHeight="1" x14ac:dyDescent="0.35">
      <c r="H461" s="90"/>
      <c r="I461" s="90"/>
    </row>
    <row r="462" spans="8:9" ht="15.75" customHeight="1" x14ac:dyDescent="0.35">
      <c r="H462" s="90"/>
      <c r="I462" s="90"/>
    </row>
    <row r="463" spans="8:9" ht="15.75" customHeight="1" x14ac:dyDescent="0.35">
      <c r="H463" s="90"/>
      <c r="I463" s="90"/>
    </row>
    <row r="464" spans="8:9" ht="15.75" customHeight="1" x14ac:dyDescent="0.35">
      <c r="H464" s="90"/>
      <c r="I464" s="90"/>
    </row>
    <row r="465" spans="8:9" ht="15.75" customHeight="1" x14ac:dyDescent="0.35">
      <c r="H465" s="90"/>
      <c r="I465" s="90"/>
    </row>
    <row r="466" spans="8:9" ht="15.75" customHeight="1" x14ac:dyDescent="0.35">
      <c r="H466" s="90"/>
      <c r="I466" s="90"/>
    </row>
    <row r="467" spans="8:9" ht="15.75" customHeight="1" x14ac:dyDescent="0.35">
      <c r="H467" s="90"/>
      <c r="I467" s="90"/>
    </row>
    <row r="468" spans="8:9" ht="15.75" customHeight="1" x14ac:dyDescent="0.35">
      <c r="H468" s="90"/>
      <c r="I468" s="90"/>
    </row>
    <row r="469" spans="8:9" ht="15.75" customHeight="1" x14ac:dyDescent="0.35">
      <c r="H469" s="90"/>
      <c r="I469" s="90"/>
    </row>
    <row r="470" spans="8:9" ht="15.75" customHeight="1" x14ac:dyDescent="0.35">
      <c r="H470" s="90"/>
      <c r="I470" s="90"/>
    </row>
    <row r="471" spans="8:9" ht="15.75" customHeight="1" x14ac:dyDescent="0.35">
      <c r="H471" s="90"/>
      <c r="I471" s="90"/>
    </row>
    <row r="472" spans="8:9" ht="15.75" customHeight="1" x14ac:dyDescent="0.35">
      <c r="H472" s="90"/>
      <c r="I472" s="90"/>
    </row>
    <row r="473" spans="8:9" ht="15.75" customHeight="1" x14ac:dyDescent="0.35">
      <c r="H473" s="90"/>
      <c r="I473" s="90"/>
    </row>
    <row r="474" spans="8:9" ht="15.75" customHeight="1" x14ac:dyDescent="0.35">
      <c r="H474" s="90"/>
      <c r="I474" s="90"/>
    </row>
    <row r="475" spans="8:9" ht="15.75" customHeight="1" x14ac:dyDescent="0.35">
      <c r="H475" s="90"/>
      <c r="I475" s="90"/>
    </row>
    <row r="476" spans="8:9" ht="15.75" customHeight="1" x14ac:dyDescent="0.35">
      <c r="H476" s="90"/>
      <c r="I476" s="90"/>
    </row>
    <row r="477" spans="8:9" ht="15.75" customHeight="1" x14ac:dyDescent="0.35">
      <c r="H477" s="90"/>
      <c r="I477" s="90"/>
    </row>
    <row r="478" spans="8:9" ht="15.75" customHeight="1" x14ac:dyDescent="0.35">
      <c r="H478" s="90"/>
      <c r="I478" s="90"/>
    </row>
    <row r="479" spans="8:9" ht="15.75" customHeight="1" x14ac:dyDescent="0.35">
      <c r="H479" s="90"/>
      <c r="I479" s="90"/>
    </row>
    <row r="480" spans="8:9" ht="15.75" customHeight="1" x14ac:dyDescent="0.35">
      <c r="H480" s="90"/>
      <c r="I480" s="90"/>
    </row>
    <row r="481" spans="8:9" ht="15.75" customHeight="1" x14ac:dyDescent="0.35">
      <c r="H481" s="90"/>
      <c r="I481" s="90"/>
    </row>
    <row r="482" spans="8:9" ht="15.75" customHeight="1" x14ac:dyDescent="0.35">
      <c r="H482" s="90"/>
      <c r="I482" s="90"/>
    </row>
    <row r="483" spans="8:9" ht="15.75" customHeight="1" x14ac:dyDescent="0.35">
      <c r="H483" s="90"/>
      <c r="I483" s="90"/>
    </row>
    <row r="484" spans="8:9" ht="15.75" customHeight="1" x14ac:dyDescent="0.35">
      <c r="H484" s="90"/>
      <c r="I484" s="90"/>
    </row>
    <row r="485" spans="8:9" ht="15.75" customHeight="1" x14ac:dyDescent="0.35">
      <c r="H485" s="90"/>
      <c r="I485" s="90"/>
    </row>
    <row r="486" spans="8:9" ht="15.75" customHeight="1" x14ac:dyDescent="0.35">
      <c r="H486" s="90"/>
      <c r="I486" s="90"/>
    </row>
    <row r="487" spans="8:9" ht="15.75" customHeight="1" x14ac:dyDescent="0.35">
      <c r="H487" s="90"/>
      <c r="I487" s="90"/>
    </row>
    <row r="488" spans="8:9" ht="15.75" customHeight="1" x14ac:dyDescent="0.35">
      <c r="H488" s="90"/>
      <c r="I488" s="90"/>
    </row>
    <row r="489" spans="8:9" ht="15.75" customHeight="1" x14ac:dyDescent="0.35">
      <c r="H489" s="90"/>
      <c r="I489" s="90"/>
    </row>
    <row r="490" spans="8:9" ht="15.75" customHeight="1" x14ac:dyDescent="0.35">
      <c r="H490" s="90"/>
      <c r="I490" s="90"/>
    </row>
    <row r="491" spans="8:9" ht="15.75" customHeight="1" x14ac:dyDescent="0.35">
      <c r="H491" s="90"/>
      <c r="I491" s="90"/>
    </row>
    <row r="492" spans="8:9" ht="15.75" customHeight="1" x14ac:dyDescent="0.35">
      <c r="H492" s="90"/>
      <c r="I492" s="90"/>
    </row>
    <row r="493" spans="8:9" ht="15.75" customHeight="1" x14ac:dyDescent="0.35">
      <c r="H493" s="90"/>
      <c r="I493" s="90"/>
    </row>
    <row r="494" spans="8:9" ht="15.75" customHeight="1" x14ac:dyDescent="0.35">
      <c r="H494" s="90"/>
      <c r="I494" s="90"/>
    </row>
    <row r="495" spans="8:9" ht="15.75" customHeight="1" x14ac:dyDescent="0.35">
      <c r="H495" s="90"/>
      <c r="I495" s="90"/>
    </row>
    <row r="496" spans="8:9" ht="15.75" customHeight="1" x14ac:dyDescent="0.35">
      <c r="H496" s="90"/>
      <c r="I496" s="90"/>
    </row>
    <row r="497" spans="8:9" ht="15.75" customHeight="1" x14ac:dyDescent="0.35">
      <c r="H497" s="90"/>
      <c r="I497" s="90"/>
    </row>
    <row r="498" spans="8:9" ht="15.75" customHeight="1" x14ac:dyDescent="0.35">
      <c r="H498" s="90"/>
      <c r="I498" s="90"/>
    </row>
    <row r="499" spans="8:9" ht="15.75" customHeight="1" x14ac:dyDescent="0.35">
      <c r="H499" s="90"/>
      <c r="I499" s="90"/>
    </row>
    <row r="500" spans="8:9" ht="15.75" customHeight="1" x14ac:dyDescent="0.35">
      <c r="H500" s="90"/>
      <c r="I500" s="90"/>
    </row>
    <row r="501" spans="8:9" ht="15.75" customHeight="1" x14ac:dyDescent="0.35">
      <c r="H501" s="90"/>
      <c r="I501" s="90"/>
    </row>
    <row r="502" spans="8:9" ht="15.75" customHeight="1" x14ac:dyDescent="0.35">
      <c r="H502" s="90"/>
      <c r="I502" s="90"/>
    </row>
    <row r="503" spans="8:9" ht="15.75" customHeight="1" x14ac:dyDescent="0.35">
      <c r="H503" s="90"/>
      <c r="I503" s="90"/>
    </row>
    <row r="504" spans="8:9" ht="15.75" customHeight="1" x14ac:dyDescent="0.35">
      <c r="H504" s="90"/>
      <c r="I504" s="90"/>
    </row>
    <row r="505" spans="8:9" ht="15.75" customHeight="1" x14ac:dyDescent="0.35">
      <c r="H505" s="90"/>
      <c r="I505" s="90"/>
    </row>
    <row r="506" spans="8:9" ht="15.75" customHeight="1" x14ac:dyDescent="0.35">
      <c r="H506" s="90"/>
      <c r="I506" s="90"/>
    </row>
    <row r="507" spans="8:9" ht="15.75" customHeight="1" x14ac:dyDescent="0.35">
      <c r="H507" s="90"/>
      <c r="I507" s="90"/>
    </row>
    <row r="508" spans="8:9" ht="15.75" customHeight="1" x14ac:dyDescent="0.35">
      <c r="H508" s="90"/>
      <c r="I508" s="90"/>
    </row>
    <row r="509" spans="8:9" ht="15.75" customHeight="1" x14ac:dyDescent="0.35">
      <c r="H509" s="90"/>
      <c r="I509" s="90"/>
    </row>
    <row r="510" spans="8:9" ht="15.75" customHeight="1" x14ac:dyDescent="0.35">
      <c r="H510" s="90"/>
      <c r="I510" s="90"/>
    </row>
    <row r="511" spans="8:9" ht="15.75" customHeight="1" x14ac:dyDescent="0.35">
      <c r="H511" s="90"/>
      <c r="I511" s="90"/>
    </row>
    <row r="512" spans="8:9" ht="15.75" customHeight="1" x14ac:dyDescent="0.35">
      <c r="H512" s="90"/>
      <c r="I512" s="90"/>
    </row>
    <row r="513" spans="8:9" ht="15.75" customHeight="1" x14ac:dyDescent="0.35">
      <c r="H513" s="90"/>
      <c r="I513" s="90"/>
    </row>
    <row r="514" spans="8:9" ht="15.75" customHeight="1" x14ac:dyDescent="0.35">
      <c r="H514" s="90"/>
      <c r="I514" s="90"/>
    </row>
    <row r="515" spans="8:9" ht="15.75" customHeight="1" x14ac:dyDescent="0.35">
      <c r="H515" s="90"/>
      <c r="I515" s="90"/>
    </row>
    <row r="516" spans="8:9" ht="15.75" customHeight="1" x14ac:dyDescent="0.35">
      <c r="H516" s="90"/>
      <c r="I516" s="90"/>
    </row>
    <row r="517" spans="8:9" ht="15.75" customHeight="1" x14ac:dyDescent="0.35">
      <c r="H517" s="90"/>
      <c r="I517" s="90"/>
    </row>
    <row r="518" spans="8:9" ht="15.75" customHeight="1" x14ac:dyDescent="0.35">
      <c r="H518" s="90"/>
      <c r="I518" s="90"/>
    </row>
    <row r="519" spans="8:9" ht="15.75" customHeight="1" x14ac:dyDescent="0.35">
      <c r="H519" s="90"/>
      <c r="I519" s="90"/>
    </row>
    <row r="520" spans="8:9" ht="15.75" customHeight="1" x14ac:dyDescent="0.35">
      <c r="H520" s="90"/>
      <c r="I520" s="90"/>
    </row>
    <row r="521" spans="8:9" ht="15.75" customHeight="1" x14ac:dyDescent="0.35">
      <c r="H521" s="90"/>
      <c r="I521" s="90"/>
    </row>
    <row r="522" spans="8:9" ht="15.75" customHeight="1" x14ac:dyDescent="0.35">
      <c r="H522" s="90"/>
      <c r="I522" s="90"/>
    </row>
    <row r="523" spans="8:9" ht="15.75" customHeight="1" x14ac:dyDescent="0.35">
      <c r="H523" s="90"/>
      <c r="I523" s="90"/>
    </row>
    <row r="524" spans="8:9" ht="15.75" customHeight="1" x14ac:dyDescent="0.35">
      <c r="H524" s="90"/>
      <c r="I524" s="90"/>
    </row>
    <row r="525" spans="8:9" ht="15.75" customHeight="1" x14ac:dyDescent="0.35">
      <c r="H525" s="90"/>
      <c r="I525" s="90"/>
    </row>
    <row r="526" spans="8:9" ht="15.75" customHeight="1" x14ac:dyDescent="0.35">
      <c r="H526" s="90"/>
      <c r="I526" s="90"/>
    </row>
    <row r="527" spans="8:9" ht="15.75" customHeight="1" x14ac:dyDescent="0.35">
      <c r="H527" s="90"/>
      <c r="I527" s="90"/>
    </row>
    <row r="528" spans="8:9" ht="15.75" customHeight="1" x14ac:dyDescent="0.35">
      <c r="H528" s="90"/>
      <c r="I528" s="90"/>
    </row>
    <row r="529" spans="8:9" ht="15.75" customHeight="1" x14ac:dyDescent="0.35">
      <c r="H529" s="90"/>
      <c r="I529" s="90"/>
    </row>
    <row r="530" spans="8:9" ht="15.75" customHeight="1" x14ac:dyDescent="0.35">
      <c r="H530" s="90"/>
      <c r="I530" s="90"/>
    </row>
    <row r="531" spans="8:9" ht="15.75" customHeight="1" x14ac:dyDescent="0.35">
      <c r="H531" s="90"/>
      <c r="I531" s="90"/>
    </row>
    <row r="532" spans="8:9" ht="15.75" customHeight="1" x14ac:dyDescent="0.35">
      <c r="H532" s="90"/>
      <c r="I532" s="90"/>
    </row>
    <row r="533" spans="8:9" ht="15.75" customHeight="1" x14ac:dyDescent="0.35">
      <c r="H533" s="90"/>
      <c r="I533" s="90"/>
    </row>
    <row r="534" spans="8:9" ht="15.75" customHeight="1" x14ac:dyDescent="0.35">
      <c r="H534" s="90"/>
      <c r="I534" s="90"/>
    </row>
    <row r="535" spans="8:9" ht="15.75" customHeight="1" x14ac:dyDescent="0.35">
      <c r="H535" s="90"/>
      <c r="I535" s="90"/>
    </row>
    <row r="536" spans="8:9" ht="15.75" customHeight="1" x14ac:dyDescent="0.35">
      <c r="H536" s="90"/>
      <c r="I536" s="90"/>
    </row>
    <row r="537" spans="8:9" ht="15.75" customHeight="1" x14ac:dyDescent="0.35">
      <c r="H537" s="90"/>
      <c r="I537" s="90"/>
    </row>
    <row r="538" spans="8:9" ht="15.75" customHeight="1" x14ac:dyDescent="0.35">
      <c r="H538" s="90"/>
      <c r="I538" s="90"/>
    </row>
    <row r="539" spans="8:9" ht="15.75" customHeight="1" x14ac:dyDescent="0.35">
      <c r="H539" s="90"/>
      <c r="I539" s="90"/>
    </row>
    <row r="540" spans="8:9" ht="15.75" customHeight="1" x14ac:dyDescent="0.35">
      <c r="H540" s="90"/>
      <c r="I540" s="90"/>
    </row>
    <row r="541" spans="8:9" ht="15.75" customHeight="1" x14ac:dyDescent="0.35">
      <c r="H541" s="90"/>
      <c r="I541" s="90"/>
    </row>
    <row r="542" spans="8:9" ht="15.75" customHeight="1" x14ac:dyDescent="0.35">
      <c r="H542" s="90"/>
      <c r="I542" s="90"/>
    </row>
    <row r="543" spans="8:9" ht="15.75" customHeight="1" x14ac:dyDescent="0.35">
      <c r="H543" s="90"/>
      <c r="I543" s="90"/>
    </row>
    <row r="544" spans="8:9" ht="15.75" customHeight="1" x14ac:dyDescent="0.35">
      <c r="H544" s="90"/>
      <c r="I544" s="90"/>
    </row>
    <row r="545" spans="8:9" ht="15.75" customHeight="1" x14ac:dyDescent="0.35">
      <c r="H545" s="90"/>
      <c r="I545" s="90"/>
    </row>
    <row r="546" spans="8:9" ht="15.75" customHeight="1" x14ac:dyDescent="0.35">
      <c r="H546" s="90"/>
      <c r="I546" s="90"/>
    </row>
    <row r="547" spans="8:9" ht="15.75" customHeight="1" x14ac:dyDescent="0.35">
      <c r="H547" s="90"/>
      <c r="I547" s="90"/>
    </row>
    <row r="548" spans="8:9" ht="15.75" customHeight="1" x14ac:dyDescent="0.35">
      <c r="H548" s="90"/>
      <c r="I548" s="90"/>
    </row>
    <row r="549" spans="8:9" ht="15.75" customHeight="1" x14ac:dyDescent="0.35">
      <c r="H549" s="90"/>
      <c r="I549" s="90"/>
    </row>
    <row r="550" spans="8:9" ht="15.75" customHeight="1" x14ac:dyDescent="0.35">
      <c r="H550" s="90"/>
      <c r="I550" s="90"/>
    </row>
    <row r="551" spans="8:9" ht="15.75" customHeight="1" x14ac:dyDescent="0.35">
      <c r="H551" s="90"/>
      <c r="I551" s="90"/>
    </row>
    <row r="552" spans="8:9" ht="15.75" customHeight="1" x14ac:dyDescent="0.35">
      <c r="H552" s="90"/>
      <c r="I552" s="90"/>
    </row>
    <row r="553" spans="8:9" ht="15.75" customHeight="1" x14ac:dyDescent="0.35">
      <c r="H553" s="90"/>
      <c r="I553" s="90"/>
    </row>
    <row r="554" spans="8:9" ht="15.75" customHeight="1" x14ac:dyDescent="0.35">
      <c r="H554" s="90"/>
      <c r="I554" s="90"/>
    </row>
    <row r="555" spans="8:9" ht="15.75" customHeight="1" x14ac:dyDescent="0.35">
      <c r="H555" s="90"/>
      <c r="I555" s="90"/>
    </row>
    <row r="556" spans="8:9" ht="15.75" customHeight="1" x14ac:dyDescent="0.35">
      <c r="H556" s="90"/>
      <c r="I556" s="90"/>
    </row>
    <row r="557" spans="8:9" ht="15.75" customHeight="1" x14ac:dyDescent="0.35">
      <c r="H557" s="90"/>
      <c r="I557" s="90"/>
    </row>
    <row r="558" spans="8:9" ht="15.75" customHeight="1" x14ac:dyDescent="0.35">
      <c r="H558" s="90"/>
      <c r="I558" s="90"/>
    </row>
    <row r="559" spans="8:9" ht="15.75" customHeight="1" x14ac:dyDescent="0.35">
      <c r="H559" s="90"/>
      <c r="I559" s="90"/>
    </row>
    <row r="560" spans="8:9" ht="15.75" customHeight="1" x14ac:dyDescent="0.35">
      <c r="H560" s="90"/>
      <c r="I560" s="90"/>
    </row>
    <row r="561" spans="8:9" ht="15.75" customHeight="1" x14ac:dyDescent="0.35">
      <c r="H561" s="90"/>
      <c r="I561" s="90"/>
    </row>
    <row r="562" spans="8:9" ht="15.75" customHeight="1" x14ac:dyDescent="0.35">
      <c r="H562" s="90"/>
      <c r="I562" s="90"/>
    </row>
    <row r="563" spans="8:9" ht="15.75" customHeight="1" x14ac:dyDescent="0.35">
      <c r="H563" s="90"/>
      <c r="I563" s="90"/>
    </row>
    <row r="564" spans="8:9" ht="15.75" customHeight="1" x14ac:dyDescent="0.35">
      <c r="H564" s="90"/>
      <c r="I564" s="90"/>
    </row>
    <row r="565" spans="8:9" ht="15.75" customHeight="1" x14ac:dyDescent="0.35">
      <c r="H565" s="90"/>
      <c r="I565" s="90"/>
    </row>
    <row r="566" spans="8:9" ht="15.75" customHeight="1" x14ac:dyDescent="0.35">
      <c r="H566" s="90"/>
      <c r="I566" s="90"/>
    </row>
    <row r="567" spans="8:9" ht="15.75" customHeight="1" x14ac:dyDescent="0.35">
      <c r="H567" s="90"/>
      <c r="I567" s="90"/>
    </row>
    <row r="568" spans="8:9" ht="15.75" customHeight="1" x14ac:dyDescent="0.35">
      <c r="H568" s="90"/>
      <c r="I568" s="90"/>
    </row>
    <row r="569" spans="8:9" ht="15.75" customHeight="1" x14ac:dyDescent="0.35">
      <c r="H569" s="90"/>
      <c r="I569" s="90"/>
    </row>
    <row r="570" spans="8:9" ht="15.75" customHeight="1" x14ac:dyDescent="0.35">
      <c r="H570" s="90"/>
      <c r="I570" s="90"/>
    </row>
    <row r="571" spans="8:9" ht="15.75" customHeight="1" x14ac:dyDescent="0.35">
      <c r="H571" s="90"/>
      <c r="I571" s="90"/>
    </row>
    <row r="572" spans="8:9" ht="15.75" customHeight="1" x14ac:dyDescent="0.35">
      <c r="H572" s="90"/>
      <c r="I572" s="90"/>
    </row>
    <row r="573" spans="8:9" ht="15.75" customHeight="1" x14ac:dyDescent="0.35">
      <c r="H573" s="90"/>
      <c r="I573" s="90"/>
    </row>
    <row r="574" spans="8:9" ht="15.75" customHeight="1" x14ac:dyDescent="0.35">
      <c r="H574" s="90"/>
      <c r="I574" s="90"/>
    </row>
    <row r="575" spans="8:9" ht="15.75" customHeight="1" x14ac:dyDescent="0.35">
      <c r="H575" s="90"/>
      <c r="I575" s="90"/>
    </row>
    <row r="576" spans="8:9" ht="15.75" customHeight="1" x14ac:dyDescent="0.35">
      <c r="H576" s="90"/>
      <c r="I576" s="90"/>
    </row>
    <row r="577" spans="8:9" ht="15.75" customHeight="1" x14ac:dyDescent="0.35">
      <c r="H577" s="90"/>
      <c r="I577" s="90"/>
    </row>
    <row r="578" spans="8:9" ht="15.75" customHeight="1" x14ac:dyDescent="0.35">
      <c r="H578" s="90"/>
      <c r="I578" s="90"/>
    </row>
    <row r="579" spans="8:9" ht="15.75" customHeight="1" x14ac:dyDescent="0.35">
      <c r="H579" s="90"/>
      <c r="I579" s="90"/>
    </row>
    <row r="580" spans="8:9" ht="15.75" customHeight="1" x14ac:dyDescent="0.35">
      <c r="H580" s="90"/>
      <c r="I580" s="90"/>
    </row>
    <row r="581" spans="8:9" ht="15.75" customHeight="1" x14ac:dyDescent="0.35">
      <c r="H581" s="90"/>
      <c r="I581" s="90"/>
    </row>
    <row r="582" spans="8:9" ht="15.75" customHeight="1" x14ac:dyDescent="0.35">
      <c r="H582" s="90"/>
      <c r="I582" s="90"/>
    </row>
    <row r="583" spans="8:9" ht="15.75" customHeight="1" x14ac:dyDescent="0.35">
      <c r="H583" s="90"/>
      <c r="I583" s="90"/>
    </row>
    <row r="584" spans="8:9" ht="15.75" customHeight="1" x14ac:dyDescent="0.35">
      <c r="H584" s="90"/>
      <c r="I584" s="90"/>
    </row>
    <row r="585" spans="8:9" ht="15.75" customHeight="1" x14ac:dyDescent="0.35">
      <c r="H585" s="90"/>
      <c r="I585" s="90"/>
    </row>
    <row r="586" spans="8:9" ht="15.75" customHeight="1" x14ac:dyDescent="0.35">
      <c r="H586" s="90"/>
      <c r="I586" s="90"/>
    </row>
    <row r="587" spans="8:9" ht="15.75" customHeight="1" x14ac:dyDescent="0.35">
      <c r="H587" s="90"/>
      <c r="I587" s="90"/>
    </row>
    <row r="588" spans="8:9" ht="15.75" customHeight="1" x14ac:dyDescent="0.35">
      <c r="H588" s="90"/>
      <c r="I588" s="90"/>
    </row>
    <row r="589" spans="8:9" ht="15.75" customHeight="1" x14ac:dyDescent="0.35">
      <c r="H589" s="90"/>
      <c r="I589" s="90"/>
    </row>
    <row r="590" spans="8:9" ht="15.75" customHeight="1" x14ac:dyDescent="0.35">
      <c r="H590" s="90"/>
      <c r="I590" s="90"/>
    </row>
    <row r="591" spans="8:9" ht="15.75" customHeight="1" x14ac:dyDescent="0.35">
      <c r="H591" s="90"/>
      <c r="I591" s="90"/>
    </row>
    <row r="592" spans="8:9" ht="15.75" customHeight="1" x14ac:dyDescent="0.35">
      <c r="H592" s="90"/>
      <c r="I592" s="90"/>
    </row>
    <row r="593" spans="8:9" ht="15.75" customHeight="1" x14ac:dyDescent="0.35">
      <c r="H593" s="90"/>
      <c r="I593" s="90"/>
    </row>
    <row r="594" spans="8:9" ht="15.75" customHeight="1" x14ac:dyDescent="0.35">
      <c r="H594" s="90"/>
      <c r="I594" s="90"/>
    </row>
    <row r="595" spans="8:9" ht="15.75" customHeight="1" x14ac:dyDescent="0.35">
      <c r="H595" s="90"/>
      <c r="I595" s="90"/>
    </row>
    <row r="596" spans="8:9" ht="15.75" customHeight="1" x14ac:dyDescent="0.35">
      <c r="H596" s="90"/>
      <c r="I596" s="90"/>
    </row>
    <row r="597" spans="8:9" ht="15.75" customHeight="1" x14ac:dyDescent="0.35">
      <c r="H597" s="90"/>
      <c r="I597" s="90"/>
    </row>
    <row r="598" spans="8:9" ht="15.75" customHeight="1" x14ac:dyDescent="0.35">
      <c r="H598" s="90"/>
      <c r="I598" s="90"/>
    </row>
    <row r="599" spans="8:9" ht="15.75" customHeight="1" x14ac:dyDescent="0.35">
      <c r="H599" s="90"/>
      <c r="I599" s="90"/>
    </row>
    <row r="600" spans="8:9" ht="15.75" customHeight="1" x14ac:dyDescent="0.35">
      <c r="H600" s="90"/>
      <c r="I600" s="90"/>
    </row>
    <row r="601" spans="8:9" ht="15.75" customHeight="1" x14ac:dyDescent="0.35">
      <c r="H601" s="90"/>
      <c r="I601" s="90"/>
    </row>
    <row r="602" spans="8:9" ht="15.75" customHeight="1" x14ac:dyDescent="0.35">
      <c r="H602" s="90"/>
      <c r="I602" s="90"/>
    </row>
    <row r="603" spans="8:9" ht="15.75" customHeight="1" x14ac:dyDescent="0.35">
      <c r="H603" s="90"/>
      <c r="I603" s="90"/>
    </row>
    <row r="604" spans="8:9" ht="15.75" customHeight="1" x14ac:dyDescent="0.35">
      <c r="H604" s="90"/>
      <c r="I604" s="90"/>
    </row>
    <row r="605" spans="8:9" ht="15.75" customHeight="1" x14ac:dyDescent="0.35">
      <c r="H605" s="90"/>
      <c r="I605" s="90"/>
    </row>
    <row r="606" spans="8:9" ht="15.75" customHeight="1" x14ac:dyDescent="0.35">
      <c r="H606" s="90"/>
      <c r="I606" s="90"/>
    </row>
    <row r="607" spans="8:9" ht="15.75" customHeight="1" x14ac:dyDescent="0.35">
      <c r="H607" s="90"/>
      <c r="I607" s="90"/>
    </row>
    <row r="608" spans="8:9" ht="15.75" customHeight="1" x14ac:dyDescent="0.35">
      <c r="H608" s="90"/>
      <c r="I608" s="90"/>
    </row>
    <row r="609" spans="8:9" ht="15.75" customHeight="1" x14ac:dyDescent="0.35">
      <c r="H609" s="90"/>
      <c r="I609" s="90"/>
    </row>
    <row r="610" spans="8:9" ht="15.75" customHeight="1" x14ac:dyDescent="0.35">
      <c r="H610" s="90"/>
      <c r="I610" s="90"/>
    </row>
    <row r="611" spans="8:9" ht="15.75" customHeight="1" x14ac:dyDescent="0.35">
      <c r="H611" s="90"/>
      <c r="I611" s="90"/>
    </row>
    <row r="612" spans="8:9" ht="15.75" customHeight="1" x14ac:dyDescent="0.35">
      <c r="H612" s="90"/>
      <c r="I612" s="90"/>
    </row>
    <row r="613" spans="8:9" ht="15.75" customHeight="1" x14ac:dyDescent="0.35">
      <c r="H613" s="90"/>
      <c r="I613" s="90"/>
    </row>
    <row r="614" spans="8:9" ht="15.75" customHeight="1" x14ac:dyDescent="0.35">
      <c r="H614" s="90"/>
      <c r="I614" s="90"/>
    </row>
    <row r="615" spans="8:9" ht="15.75" customHeight="1" x14ac:dyDescent="0.35">
      <c r="H615" s="90"/>
      <c r="I615" s="90"/>
    </row>
    <row r="616" spans="8:9" ht="15.75" customHeight="1" x14ac:dyDescent="0.35">
      <c r="H616" s="90"/>
      <c r="I616" s="90"/>
    </row>
    <row r="617" spans="8:9" ht="15.75" customHeight="1" x14ac:dyDescent="0.35">
      <c r="H617" s="90"/>
      <c r="I617" s="90"/>
    </row>
    <row r="618" spans="8:9" ht="15.75" customHeight="1" x14ac:dyDescent="0.35">
      <c r="H618" s="90"/>
      <c r="I618" s="90"/>
    </row>
    <row r="619" spans="8:9" ht="15.75" customHeight="1" x14ac:dyDescent="0.35">
      <c r="H619" s="90"/>
      <c r="I619" s="90"/>
    </row>
    <row r="620" spans="8:9" ht="15.75" customHeight="1" x14ac:dyDescent="0.35">
      <c r="H620" s="90"/>
      <c r="I620" s="90"/>
    </row>
    <row r="621" spans="8:9" ht="15.75" customHeight="1" x14ac:dyDescent="0.35">
      <c r="H621" s="90"/>
      <c r="I621" s="90"/>
    </row>
    <row r="622" spans="8:9" ht="15.75" customHeight="1" x14ac:dyDescent="0.35">
      <c r="H622" s="90"/>
      <c r="I622" s="90"/>
    </row>
    <row r="623" spans="8:9" ht="15.75" customHeight="1" x14ac:dyDescent="0.35">
      <c r="H623" s="90"/>
      <c r="I623" s="90"/>
    </row>
    <row r="624" spans="8:9" ht="15.75" customHeight="1" x14ac:dyDescent="0.35">
      <c r="H624" s="90"/>
      <c r="I624" s="90"/>
    </row>
    <row r="625" spans="8:9" ht="15.75" customHeight="1" x14ac:dyDescent="0.35">
      <c r="H625" s="90"/>
      <c r="I625" s="90"/>
    </row>
    <row r="626" spans="8:9" ht="15.75" customHeight="1" x14ac:dyDescent="0.35">
      <c r="H626" s="90"/>
      <c r="I626" s="90"/>
    </row>
    <row r="627" spans="8:9" ht="15.75" customHeight="1" x14ac:dyDescent="0.35">
      <c r="H627" s="90"/>
      <c r="I627" s="90"/>
    </row>
    <row r="628" spans="8:9" ht="15.75" customHeight="1" x14ac:dyDescent="0.35">
      <c r="H628" s="90"/>
      <c r="I628" s="90"/>
    </row>
    <row r="629" spans="8:9" ht="15.75" customHeight="1" x14ac:dyDescent="0.35">
      <c r="H629" s="90"/>
      <c r="I629" s="90"/>
    </row>
    <row r="630" spans="8:9" ht="15.75" customHeight="1" x14ac:dyDescent="0.35">
      <c r="H630" s="90"/>
      <c r="I630" s="90"/>
    </row>
    <row r="631" spans="8:9" ht="15.75" customHeight="1" x14ac:dyDescent="0.35">
      <c r="H631" s="90"/>
      <c r="I631" s="90"/>
    </row>
    <row r="632" spans="8:9" ht="15.75" customHeight="1" x14ac:dyDescent="0.35">
      <c r="H632" s="90"/>
      <c r="I632" s="90"/>
    </row>
    <row r="633" spans="8:9" ht="15.75" customHeight="1" x14ac:dyDescent="0.35">
      <c r="H633" s="90"/>
      <c r="I633" s="90"/>
    </row>
    <row r="634" spans="8:9" ht="15.75" customHeight="1" x14ac:dyDescent="0.35">
      <c r="H634" s="90"/>
      <c r="I634" s="90"/>
    </row>
    <row r="635" spans="8:9" ht="15.75" customHeight="1" x14ac:dyDescent="0.35">
      <c r="H635" s="90"/>
      <c r="I635" s="90"/>
    </row>
    <row r="636" spans="8:9" ht="15.75" customHeight="1" x14ac:dyDescent="0.35">
      <c r="H636" s="90"/>
      <c r="I636" s="90"/>
    </row>
    <row r="637" spans="8:9" ht="15.75" customHeight="1" x14ac:dyDescent="0.35">
      <c r="H637" s="90"/>
      <c r="I637" s="90"/>
    </row>
    <row r="638" spans="8:9" ht="15.75" customHeight="1" x14ac:dyDescent="0.35">
      <c r="H638" s="90"/>
      <c r="I638" s="90"/>
    </row>
    <row r="639" spans="8:9" ht="15.75" customHeight="1" x14ac:dyDescent="0.35">
      <c r="H639" s="90"/>
      <c r="I639" s="90"/>
    </row>
    <row r="640" spans="8:9" ht="15.75" customHeight="1" x14ac:dyDescent="0.35">
      <c r="H640" s="90"/>
      <c r="I640" s="90"/>
    </row>
    <row r="641" spans="8:9" ht="15.75" customHeight="1" x14ac:dyDescent="0.35">
      <c r="H641" s="90"/>
      <c r="I641" s="90"/>
    </row>
    <row r="642" spans="8:9" ht="15.75" customHeight="1" x14ac:dyDescent="0.35">
      <c r="H642" s="90"/>
      <c r="I642" s="90"/>
    </row>
    <row r="643" spans="8:9" ht="15.75" customHeight="1" x14ac:dyDescent="0.35">
      <c r="H643" s="90"/>
      <c r="I643" s="90"/>
    </row>
    <row r="644" spans="8:9" ht="15.75" customHeight="1" x14ac:dyDescent="0.35">
      <c r="H644" s="90"/>
      <c r="I644" s="90"/>
    </row>
    <row r="645" spans="8:9" ht="15.75" customHeight="1" x14ac:dyDescent="0.35">
      <c r="H645" s="90"/>
      <c r="I645" s="90"/>
    </row>
    <row r="646" spans="8:9" ht="15.75" customHeight="1" x14ac:dyDescent="0.35">
      <c r="H646" s="90"/>
      <c r="I646" s="90"/>
    </row>
    <row r="647" spans="8:9" ht="15.75" customHeight="1" x14ac:dyDescent="0.35">
      <c r="H647" s="90"/>
      <c r="I647" s="90"/>
    </row>
    <row r="648" spans="8:9" ht="15.75" customHeight="1" x14ac:dyDescent="0.35">
      <c r="H648" s="90"/>
      <c r="I648" s="90"/>
    </row>
    <row r="649" spans="8:9" ht="15.75" customHeight="1" x14ac:dyDescent="0.35">
      <c r="H649" s="90"/>
      <c r="I649" s="90"/>
    </row>
    <row r="650" spans="8:9" ht="15.75" customHeight="1" x14ac:dyDescent="0.35">
      <c r="H650" s="90"/>
      <c r="I650" s="90"/>
    </row>
    <row r="651" spans="8:9" ht="15.75" customHeight="1" x14ac:dyDescent="0.35">
      <c r="H651" s="90"/>
      <c r="I651" s="90"/>
    </row>
    <row r="652" spans="8:9" ht="15.75" customHeight="1" x14ac:dyDescent="0.35">
      <c r="H652" s="90"/>
      <c r="I652" s="90"/>
    </row>
    <row r="653" spans="8:9" ht="15.75" customHeight="1" x14ac:dyDescent="0.35">
      <c r="H653" s="90"/>
      <c r="I653" s="90"/>
    </row>
    <row r="654" spans="8:9" ht="15.75" customHeight="1" x14ac:dyDescent="0.35">
      <c r="H654" s="90"/>
      <c r="I654" s="90"/>
    </row>
    <row r="655" spans="8:9" ht="15.75" customHeight="1" x14ac:dyDescent="0.35">
      <c r="H655" s="90"/>
      <c r="I655" s="90"/>
    </row>
    <row r="656" spans="8:9" ht="15.75" customHeight="1" x14ac:dyDescent="0.35">
      <c r="H656" s="90"/>
      <c r="I656" s="90"/>
    </row>
    <row r="657" spans="8:9" ht="15.75" customHeight="1" x14ac:dyDescent="0.35">
      <c r="H657" s="90"/>
      <c r="I657" s="90"/>
    </row>
    <row r="658" spans="8:9" ht="15.75" customHeight="1" x14ac:dyDescent="0.35">
      <c r="H658" s="90"/>
      <c r="I658" s="90"/>
    </row>
    <row r="659" spans="8:9" ht="15.75" customHeight="1" x14ac:dyDescent="0.35">
      <c r="H659" s="90"/>
      <c r="I659" s="90"/>
    </row>
    <row r="660" spans="8:9" ht="15.75" customHeight="1" x14ac:dyDescent="0.35">
      <c r="H660" s="90"/>
      <c r="I660" s="90"/>
    </row>
    <row r="661" spans="8:9" ht="15.75" customHeight="1" x14ac:dyDescent="0.35">
      <c r="H661" s="90"/>
      <c r="I661" s="90"/>
    </row>
    <row r="662" spans="8:9" ht="15.75" customHeight="1" x14ac:dyDescent="0.35">
      <c r="H662" s="90"/>
      <c r="I662" s="90"/>
    </row>
    <row r="663" spans="8:9" ht="15.75" customHeight="1" x14ac:dyDescent="0.35">
      <c r="H663" s="90"/>
      <c r="I663" s="90"/>
    </row>
    <row r="664" spans="8:9" ht="15.75" customHeight="1" x14ac:dyDescent="0.35">
      <c r="H664" s="90"/>
      <c r="I664" s="90"/>
    </row>
    <row r="665" spans="8:9" ht="15.75" customHeight="1" x14ac:dyDescent="0.35">
      <c r="H665" s="90"/>
      <c r="I665" s="90"/>
    </row>
    <row r="666" spans="8:9" ht="15.75" customHeight="1" x14ac:dyDescent="0.35">
      <c r="H666" s="90"/>
      <c r="I666" s="90"/>
    </row>
    <row r="667" spans="8:9" ht="15.75" customHeight="1" x14ac:dyDescent="0.35">
      <c r="H667" s="90"/>
      <c r="I667" s="90"/>
    </row>
    <row r="668" spans="8:9" ht="15.75" customHeight="1" x14ac:dyDescent="0.35">
      <c r="H668" s="90"/>
      <c r="I668" s="90"/>
    </row>
    <row r="669" spans="8:9" ht="15.75" customHeight="1" x14ac:dyDescent="0.35">
      <c r="H669" s="90"/>
      <c r="I669" s="90"/>
    </row>
    <row r="670" spans="8:9" ht="15.75" customHeight="1" x14ac:dyDescent="0.35">
      <c r="H670" s="90"/>
      <c r="I670" s="90"/>
    </row>
    <row r="671" spans="8:9" ht="15.75" customHeight="1" x14ac:dyDescent="0.35">
      <c r="H671" s="90"/>
      <c r="I671" s="90"/>
    </row>
    <row r="672" spans="8:9" ht="15.75" customHeight="1" x14ac:dyDescent="0.35">
      <c r="H672" s="90"/>
      <c r="I672" s="90"/>
    </row>
    <row r="673" spans="8:9" ht="15.75" customHeight="1" x14ac:dyDescent="0.35">
      <c r="H673" s="90"/>
      <c r="I673" s="90"/>
    </row>
    <row r="674" spans="8:9" ht="15.75" customHeight="1" x14ac:dyDescent="0.35">
      <c r="H674" s="90"/>
      <c r="I674" s="90"/>
    </row>
    <row r="675" spans="8:9" ht="15.75" customHeight="1" x14ac:dyDescent="0.35">
      <c r="H675" s="90"/>
      <c r="I675" s="90"/>
    </row>
    <row r="676" spans="8:9" ht="15.75" customHeight="1" x14ac:dyDescent="0.35">
      <c r="H676" s="90"/>
      <c r="I676" s="90"/>
    </row>
    <row r="677" spans="8:9" ht="15.75" customHeight="1" x14ac:dyDescent="0.35">
      <c r="H677" s="90"/>
      <c r="I677" s="90"/>
    </row>
    <row r="678" spans="8:9" ht="15.75" customHeight="1" x14ac:dyDescent="0.35">
      <c r="H678" s="90"/>
      <c r="I678" s="90"/>
    </row>
    <row r="679" spans="8:9" ht="15.75" customHeight="1" x14ac:dyDescent="0.35">
      <c r="H679" s="90"/>
      <c r="I679" s="90"/>
    </row>
    <row r="680" spans="8:9" ht="15.75" customHeight="1" x14ac:dyDescent="0.35">
      <c r="H680" s="90"/>
      <c r="I680" s="90"/>
    </row>
    <row r="681" spans="8:9" ht="15.75" customHeight="1" x14ac:dyDescent="0.35">
      <c r="H681" s="90"/>
      <c r="I681" s="90"/>
    </row>
    <row r="682" spans="8:9" ht="15.75" customHeight="1" x14ac:dyDescent="0.35">
      <c r="H682" s="90"/>
      <c r="I682" s="90"/>
    </row>
    <row r="683" spans="8:9" ht="15.75" customHeight="1" x14ac:dyDescent="0.35">
      <c r="H683" s="90"/>
      <c r="I683" s="90"/>
    </row>
    <row r="684" spans="8:9" ht="15.75" customHeight="1" x14ac:dyDescent="0.35">
      <c r="H684" s="90"/>
      <c r="I684" s="90"/>
    </row>
    <row r="685" spans="8:9" ht="15.75" customHeight="1" x14ac:dyDescent="0.35">
      <c r="H685" s="90"/>
      <c r="I685" s="90"/>
    </row>
    <row r="686" spans="8:9" ht="15.75" customHeight="1" x14ac:dyDescent="0.35">
      <c r="H686" s="90"/>
      <c r="I686" s="90"/>
    </row>
    <row r="687" spans="8:9" ht="15.75" customHeight="1" x14ac:dyDescent="0.35">
      <c r="H687" s="90"/>
      <c r="I687" s="90"/>
    </row>
    <row r="688" spans="8:9" ht="15.75" customHeight="1" x14ac:dyDescent="0.35">
      <c r="H688" s="90"/>
      <c r="I688" s="90"/>
    </row>
    <row r="689" spans="8:9" ht="15.75" customHeight="1" x14ac:dyDescent="0.35">
      <c r="H689" s="90"/>
      <c r="I689" s="90"/>
    </row>
    <row r="690" spans="8:9" ht="15.75" customHeight="1" x14ac:dyDescent="0.35">
      <c r="H690" s="90"/>
      <c r="I690" s="90"/>
    </row>
    <row r="691" spans="8:9" ht="15.75" customHeight="1" x14ac:dyDescent="0.35">
      <c r="H691" s="90"/>
      <c r="I691" s="90"/>
    </row>
    <row r="692" spans="8:9" ht="15.75" customHeight="1" x14ac:dyDescent="0.35">
      <c r="H692" s="90"/>
      <c r="I692" s="90"/>
    </row>
    <row r="693" spans="8:9" ht="15.75" customHeight="1" x14ac:dyDescent="0.35">
      <c r="H693" s="90"/>
      <c r="I693" s="90"/>
    </row>
    <row r="694" spans="8:9" ht="15.75" customHeight="1" x14ac:dyDescent="0.35">
      <c r="H694" s="90"/>
      <c r="I694" s="90"/>
    </row>
    <row r="695" spans="8:9" ht="15.75" customHeight="1" x14ac:dyDescent="0.35">
      <c r="H695" s="90"/>
      <c r="I695" s="90"/>
    </row>
    <row r="696" spans="8:9" ht="15.75" customHeight="1" x14ac:dyDescent="0.35">
      <c r="H696" s="90"/>
      <c r="I696" s="90"/>
    </row>
    <row r="697" spans="8:9" ht="15.75" customHeight="1" x14ac:dyDescent="0.35">
      <c r="H697" s="90"/>
      <c r="I697" s="90"/>
    </row>
    <row r="698" spans="8:9" ht="15.75" customHeight="1" x14ac:dyDescent="0.35">
      <c r="H698" s="90"/>
      <c r="I698" s="90"/>
    </row>
    <row r="699" spans="8:9" ht="15.75" customHeight="1" x14ac:dyDescent="0.35">
      <c r="H699" s="90"/>
      <c r="I699" s="90"/>
    </row>
    <row r="700" spans="8:9" ht="15.75" customHeight="1" x14ac:dyDescent="0.35">
      <c r="H700" s="90"/>
      <c r="I700" s="90"/>
    </row>
    <row r="701" spans="8:9" ht="15.75" customHeight="1" x14ac:dyDescent="0.35">
      <c r="H701" s="90"/>
      <c r="I701" s="90"/>
    </row>
    <row r="702" spans="8:9" ht="15.75" customHeight="1" x14ac:dyDescent="0.35">
      <c r="H702" s="90"/>
      <c r="I702" s="90"/>
    </row>
    <row r="703" spans="8:9" ht="15.75" customHeight="1" x14ac:dyDescent="0.35">
      <c r="H703" s="90"/>
      <c r="I703" s="90"/>
    </row>
    <row r="704" spans="8:9" ht="15.75" customHeight="1" x14ac:dyDescent="0.35">
      <c r="H704" s="90"/>
      <c r="I704" s="90"/>
    </row>
    <row r="705" spans="8:9" ht="15.75" customHeight="1" x14ac:dyDescent="0.35">
      <c r="H705" s="90"/>
      <c r="I705" s="90"/>
    </row>
    <row r="706" spans="8:9" ht="15.75" customHeight="1" x14ac:dyDescent="0.35">
      <c r="H706" s="90"/>
      <c r="I706" s="90"/>
    </row>
    <row r="707" spans="8:9" ht="15.75" customHeight="1" x14ac:dyDescent="0.35">
      <c r="H707" s="90"/>
      <c r="I707" s="90"/>
    </row>
    <row r="708" spans="8:9" ht="15.75" customHeight="1" x14ac:dyDescent="0.35">
      <c r="H708" s="90"/>
      <c r="I708" s="90"/>
    </row>
    <row r="709" spans="8:9" ht="15.75" customHeight="1" x14ac:dyDescent="0.35">
      <c r="H709" s="90"/>
      <c r="I709" s="90"/>
    </row>
    <row r="710" spans="8:9" ht="15.75" customHeight="1" x14ac:dyDescent="0.35">
      <c r="H710" s="90"/>
      <c r="I710" s="90"/>
    </row>
    <row r="711" spans="8:9" ht="15.75" customHeight="1" x14ac:dyDescent="0.35">
      <c r="H711" s="90"/>
      <c r="I711" s="90"/>
    </row>
    <row r="712" spans="8:9" ht="15.75" customHeight="1" x14ac:dyDescent="0.35">
      <c r="H712" s="90"/>
      <c r="I712" s="90"/>
    </row>
    <row r="713" spans="8:9" ht="15.75" customHeight="1" x14ac:dyDescent="0.35">
      <c r="H713" s="90"/>
      <c r="I713" s="90"/>
    </row>
    <row r="714" spans="8:9" ht="15.75" customHeight="1" x14ac:dyDescent="0.35">
      <c r="H714" s="90"/>
      <c r="I714" s="90"/>
    </row>
    <row r="715" spans="8:9" ht="15.75" customHeight="1" x14ac:dyDescent="0.35">
      <c r="H715" s="90"/>
      <c r="I715" s="90"/>
    </row>
    <row r="716" spans="8:9" ht="15.75" customHeight="1" x14ac:dyDescent="0.35">
      <c r="H716" s="90"/>
      <c r="I716" s="90"/>
    </row>
    <row r="717" spans="8:9" ht="15.75" customHeight="1" x14ac:dyDescent="0.35">
      <c r="H717" s="90"/>
      <c r="I717" s="90"/>
    </row>
    <row r="718" spans="8:9" ht="15.75" customHeight="1" x14ac:dyDescent="0.35">
      <c r="H718" s="90"/>
      <c r="I718" s="90"/>
    </row>
    <row r="719" spans="8:9" ht="15.75" customHeight="1" x14ac:dyDescent="0.35">
      <c r="H719" s="90"/>
      <c r="I719" s="90"/>
    </row>
    <row r="720" spans="8:9" ht="15.75" customHeight="1" x14ac:dyDescent="0.35">
      <c r="H720" s="90"/>
      <c r="I720" s="90"/>
    </row>
    <row r="721" spans="8:9" ht="15.75" customHeight="1" x14ac:dyDescent="0.35">
      <c r="H721" s="90"/>
      <c r="I721" s="90"/>
    </row>
    <row r="722" spans="8:9" ht="15.75" customHeight="1" x14ac:dyDescent="0.35">
      <c r="H722" s="90"/>
      <c r="I722" s="90"/>
    </row>
    <row r="723" spans="8:9" ht="15.75" customHeight="1" x14ac:dyDescent="0.35">
      <c r="H723" s="90"/>
      <c r="I723" s="90"/>
    </row>
    <row r="724" spans="8:9" ht="15.75" customHeight="1" x14ac:dyDescent="0.35">
      <c r="H724" s="90"/>
      <c r="I724" s="90"/>
    </row>
    <row r="725" spans="8:9" ht="15.75" customHeight="1" x14ac:dyDescent="0.35">
      <c r="H725" s="90"/>
      <c r="I725" s="90"/>
    </row>
    <row r="726" spans="8:9" ht="15.75" customHeight="1" x14ac:dyDescent="0.35">
      <c r="H726" s="90"/>
      <c r="I726" s="90"/>
    </row>
    <row r="727" spans="8:9" ht="15.75" customHeight="1" x14ac:dyDescent="0.35">
      <c r="H727" s="90"/>
      <c r="I727" s="90"/>
    </row>
    <row r="728" spans="8:9" ht="15.75" customHeight="1" x14ac:dyDescent="0.35">
      <c r="H728" s="90"/>
      <c r="I728" s="90"/>
    </row>
    <row r="729" spans="8:9" ht="15.75" customHeight="1" x14ac:dyDescent="0.35">
      <c r="H729" s="90"/>
      <c r="I729" s="90"/>
    </row>
    <row r="730" spans="8:9" ht="15.75" customHeight="1" x14ac:dyDescent="0.35">
      <c r="H730" s="90"/>
      <c r="I730" s="90"/>
    </row>
    <row r="731" spans="8:9" ht="15.75" customHeight="1" x14ac:dyDescent="0.35">
      <c r="H731" s="90"/>
      <c r="I731" s="90"/>
    </row>
    <row r="732" spans="8:9" ht="15.75" customHeight="1" x14ac:dyDescent="0.35">
      <c r="H732" s="90"/>
      <c r="I732" s="90"/>
    </row>
    <row r="733" spans="8:9" ht="15.75" customHeight="1" x14ac:dyDescent="0.35">
      <c r="H733" s="90"/>
      <c r="I733" s="90"/>
    </row>
    <row r="734" spans="8:9" ht="15.75" customHeight="1" x14ac:dyDescent="0.35">
      <c r="H734" s="90"/>
      <c r="I734" s="90"/>
    </row>
    <row r="735" spans="8:9" ht="15.75" customHeight="1" x14ac:dyDescent="0.35">
      <c r="H735" s="90"/>
      <c r="I735" s="90"/>
    </row>
    <row r="736" spans="8:9" ht="15.75" customHeight="1" x14ac:dyDescent="0.35">
      <c r="H736" s="90"/>
      <c r="I736" s="90"/>
    </row>
    <row r="737" spans="8:9" ht="15.75" customHeight="1" x14ac:dyDescent="0.35">
      <c r="H737" s="90"/>
      <c r="I737" s="90"/>
    </row>
    <row r="738" spans="8:9" ht="15.75" customHeight="1" x14ac:dyDescent="0.35">
      <c r="H738" s="90"/>
      <c r="I738" s="90"/>
    </row>
    <row r="739" spans="8:9" ht="15.75" customHeight="1" x14ac:dyDescent="0.35">
      <c r="H739" s="90"/>
      <c r="I739" s="90"/>
    </row>
    <row r="740" spans="8:9" ht="15.75" customHeight="1" x14ac:dyDescent="0.35">
      <c r="H740" s="90"/>
      <c r="I740" s="90"/>
    </row>
    <row r="741" spans="8:9" ht="15.75" customHeight="1" x14ac:dyDescent="0.35">
      <c r="H741" s="90"/>
      <c r="I741" s="90"/>
    </row>
    <row r="742" spans="8:9" ht="15.75" customHeight="1" x14ac:dyDescent="0.35">
      <c r="H742" s="90"/>
      <c r="I742" s="90"/>
    </row>
    <row r="743" spans="8:9" ht="15.75" customHeight="1" x14ac:dyDescent="0.35">
      <c r="H743" s="90"/>
      <c r="I743" s="90"/>
    </row>
    <row r="744" spans="8:9" ht="15.75" customHeight="1" x14ac:dyDescent="0.35">
      <c r="H744" s="90"/>
      <c r="I744" s="90"/>
    </row>
    <row r="745" spans="8:9" ht="15.75" customHeight="1" x14ac:dyDescent="0.35">
      <c r="H745" s="90"/>
      <c r="I745" s="90"/>
    </row>
    <row r="746" spans="8:9" ht="15.75" customHeight="1" x14ac:dyDescent="0.35">
      <c r="H746" s="90"/>
      <c r="I746" s="90"/>
    </row>
    <row r="747" spans="8:9" ht="15.75" customHeight="1" x14ac:dyDescent="0.35">
      <c r="H747" s="90"/>
      <c r="I747" s="90"/>
    </row>
    <row r="748" spans="8:9" ht="15.75" customHeight="1" x14ac:dyDescent="0.35">
      <c r="H748" s="90"/>
      <c r="I748" s="90"/>
    </row>
    <row r="749" spans="8:9" ht="15.75" customHeight="1" x14ac:dyDescent="0.35">
      <c r="H749" s="90"/>
      <c r="I749" s="90"/>
    </row>
    <row r="750" spans="8:9" ht="15.75" customHeight="1" x14ac:dyDescent="0.35">
      <c r="H750" s="90"/>
      <c r="I750" s="90"/>
    </row>
    <row r="751" spans="8:9" ht="15.75" customHeight="1" x14ac:dyDescent="0.35">
      <c r="H751" s="90"/>
      <c r="I751" s="90"/>
    </row>
    <row r="752" spans="8:9" ht="15.75" customHeight="1" x14ac:dyDescent="0.35">
      <c r="H752" s="90"/>
      <c r="I752" s="90"/>
    </row>
    <row r="753" spans="8:9" ht="15.75" customHeight="1" x14ac:dyDescent="0.35">
      <c r="H753" s="90"/>
      <c r="I753" s="90"/>
    </row>
    <row r="754" spans="8:9" ht="15.75" customHeight="1" x14ac:dyDescent="0.35">
      <c r="H754" s="90"/>
      <c r="I754" s="90"/>
    </row>
    <row r="755" spans="8:9" ht="15.75" customHeight="1" x14ac:dyDescent="0.35">
      <c r="H755" s="90"/>
      <c r="I755" s="90"/>
    </row>
    <row r="756" spans="8:9" ht="15.75" customHeight="1" x14ac:dyDescent="0.35">
      <c r="H756" s="90"/>
      <c r="I756" s="90"/>
    </row>
    <row r="757" spans="8:9" ht="15.75" customHeight="1" x14ac:dyDescent="0.35">
      <c r="H757" s="90"/>
      <c r="I757" s="90"/>
    </row>
    <row r="758" spans="8:9" ht="15.75" customHeight="1" x14ac:dyDescent="0.35">
      <c r="H758" s="90"/>
      <c r="I758" s="90"/>
    </row>
    <row r="759" spans="8:9" ht="15.75" customHeight="1" x14ac:dyDescent="0.35">
      <c r="H759" s="90"/>
      <c r="I759" s="90"/>
    </row>
    <row r="760" spans="8:9" ht="15.75" customHeight="1" x14ac:dyDescent="0.35">
      <c r="H760" s="90"/>
      <c r="I760" s="90"/>
    </row>
    <row r="761" spans="8:9" ht="15.75" customHeight="1" x14ac:dyDescent="0.35">
      <c r="H761" s="90"/>
      <c r="I761" s="90"/>
    </row>
    <row r="762" spans="8:9" ht="15.75" customHeight="1" x14ac:dyDescent="0.35">
      <c r="H762" s="90"/>
      <c r="I762" s="90"/>
    </row>
    <row r="763" spans="8:9" ht="15.75" customHeight="1" x14ac:dyDescent="0.35">
      <c r="H763" s="90"/>
      <c r="I763" s="90"/>
    </row>
    <row r="764" spans="8:9" ht="15.75" customHeight="1" x14ac:dyDescent="0.35">
      <c r="H764" s="90"/>
      <c r="I764" s="90"/>
    </row>
    <row r="765" spans="8:9" ht="15.75" customHeight="1" x14ac:dyDescent="0.35">
      <c r="H765" s="90"/>
      <c r="I765" s="90"/>
    </row>
    <row r="766" spans="8:9" ht="15.75" customHeight="1" x14ac:dyDescent="0.35">
      <c r="H766" s="90"/>
      <c r="I766" s="90"/>
    </row>
    <row r="767" spans="8:9" ht="15.75" customHeight="1" x14ac:dyDescent="0.35">
      <c r="H767" s="90"/>
      <c r="I767" s="90"/>
    </row>
    <row r="768" spans="8:9" ht="15.75" customHeight="1" x14ac:dyDescent="0.35">
      <c r="H768" s="90"/>
      <c r="I768" s="90"/>
    </row>
    <row r="769" spans="8:9" ht="15.75" customHeight="1" x14ac:dyDescent="0.35">
      <c r="H769" s="90"/>
      <c r="I769" s="90"/>
    </row>
    <row r="770" spans="8:9" ht="15.75" customHeight="1" x14ac:dyDescent="0.35">
      <c r="H770" s="90"/>
      <c r="I770" s="90"/>
    </row>
    <row r="771" spans="8:9" ht="15.75" customHeight="1" x14ac:dyDescent="0.35">
      <c r="H771" s="90"/>
      <c r="I771" s="90"/>
    </row>
    <row r="772" spans="8:9" ht="15.75" customHeight="1" x14ac:dyDescent="0.35">
      <c r="H772" s="90"/>
      <c r="I772" s="90"/>
    </row>
    <row r="773" spans="8:9" ht="15.75" customHeight="1" x14ac:dyDescent="0.35">
      <c r="H773" s="90"/>
      <c r="I773" s="90"/>
    </row>
    <row r="774" spans="8:9" ht="15.75" customHeight="1" x14ac:dyDescent="0.35">
      <c r="H774" s="90"/>
      <c r="I774" s="90"/>
    </row>
    <row r="775" spans="8:9" ht="15.75" customHeight="1" x14ac:dyDescent="0.35">
      <c r="H775" s="90"/>
      <c r="I775" s="90"/>
    </row>
    <row r="776" spans="8:9" ht="15.75" customHeight="1" x14ac:dyDescent="0.35">
      <c r="H776" s="90"/>
      <c r="I776" s="90"/>
    </row>
    <row r="777" spans="8:9" ht="15.75" customHeight="1" x14ac:dyDescent="0.35">
      <c r="H777" s="90"/>
      <c r="I777" s="90"/>
    </row>
    <row r="778" spans="8:9" ht="15.75" customHeight="1" x14ac:dyDescent="0.35">
      <c r="H778" s="90"/>
      <c r="I778" s="90"/>
    </row>
    <row r="779" spans="8:9" ht="15.75" customHeight="1" x14ac:dyDescent="0.35">
      <c r="H779" s="90"/>
      <c r="I779" s="90"/>
    </row>
    <row r="780" spans="8:9" ht="15.75" customHeight="1" x14ac:dyDescent="0.35">
      <c r="H780" s="90"/>
      <c r="I780" s="90"/>
    </row>
    <row r="781" spans="8:9" ht="15.75" customHeight="1" x14ac:dyDescent="0.35">
      <c r="H781" s="90"/>
      <c r="I781" s="90"/>
    </row>
    <row r="782" spans="8:9" ht="15.75" customHeight="1" x14ac:dyDescent="0.35">
      <c r="H782" s="90"/>
      <c r="I782" s="90"/>
    </row>
    <row r="783" spans="8:9" ht="15.75" customHeight="1" x14ac:dyDescent="0.35">
      <c r="H783" s="90"/>
      <c r="I783" s="90"/>
    </row>
    <row r="784" spans="8:9" ht="15.75" customHeight="1" x14ac:dyDescent="0.35">
      <c r="H784" s="90"/>
      <c r="I784" s="90"/>
    </row>
    <row r="785" spans="8:9" ht="15.75" customHeight="1" x14ac:dyDescent="0.35">
      <c r="H785" s="90"/>
      <c r="I785" s="90"/>
    </row>
    <row r="786" spans="8:9" ht="15.75" customHeight="1" x14ac:dyDescent="0.35">
      <c r="H786" s="90"/>
      <c r="I786" s="90"/>
    </row>
    <row r="787" spans="8:9" ht="15.75" customHeight="1" x14ac:dyDescent="0.35">
      <c r="H787" s="90"/>
      <c r="I787" s="90"/>
    </row>
    <row r="788" spans="8:9" ht="15.75" customHeight="1" x14ac:dyDescent="0.35">
      <c r="H788" s="90"/>
      <c r="I788" s="90"/>
    </row>
    <row r="789" spans="8:9" ht="15.75" customHeight="1" x14ac:dyDescent="0.35">
      <c r="H789" s="90"/>
      <c r="I789" s="90"/>
    </row>
    <row r="790" spans="8:9" ht="15.75" customHeight="1" x14ac:dyDescent="0.35">
      <c r="H790" s="90"/>
      <c r="I790" s="90"/>
    </row>
    <row r="791" spans="8:9" ht="15.75" customHeight="1" x14ac:dyDescent="0.35">
      <c r="H791" s="90"/>
      <c r="I791" s="90"/>
    </row>
    <row r="792" spans="8:9" ht="15.75" customHeight="1" x14ac:dyDescent="0.35">
      <c r="H792" s="90"/>
      <c r="I792" s="90"/>
    </row>
    <row r="793" spans="8:9" ht="15.75" customHeight="1" x14ac:dyDescent="0.35">
      <c r="H793" s="90"/>
      <c r="I793" s="90"/>
    </row>
    <row r="794" spans="8:9" ht="15.75" customHeight="1" x14ac:dyDescent="0.35">
      <c r="H794" s="90"/>
      <c r="I794" s="90"/>
    </row>
    <row r="795" spans="8:9" ht="15.75" customHeight="1" x14ac:dyDescent="0.35">
      <c r="H795" s="90"/>
      <c r="I795" s="90"/>
    </row>
    <row r="796" spans="8:9" ht="15.75" customHeight="1" x14ac:dyDescent="0.35">
      <c r="H796" s="90"/>
      <c r="I796" s="90"/>
    </row>
    <row r="797" spans="8:9" ht="15.75" customHeight="1" x14ac:dyDescent="0.35">
      <c r="H797" s="90"/>
      <c r="I797" s="90"/>
    </row>
    <row r="798" spans="8:9" ht="15.75" customHeight="1" x14ac:dyDescent="0.35">
      <c r="H798" s="90"/>
      <c r="I798" s="90"/>
    </row>
    <row r="799" spans="8:9" ht="15.75" customHeight="1" x14ac:dyDescent="0.35">
      <c r="H799" s="90"/>
      <c r="I799" s="90"/>
    </row>
    <row r="800" spans="8:9" ht="15.75" customHeight="1" x14ac:dyDescent="0.35">
      <c r="H800" s="90"/>
      <c r="I800" s="90"/>
    </row>
    <row r="801" spans="8:9" ht="15.75" customHeight="1" x14ac:dyDescent="0.35">
      <c r="H801" s="90"/>
      <c r="I801" s="90"/>
    </row>
    <row r="802" spans="8:9" ht="15.75" customHeight="1" x14ac:dyDescent="0.35">
      <c r="H802" s="90"/>
      <c r="I802" s="90"/>
    </row>
    <row r="803" spans="8:9" ht="15.75" customHeight="1" x14ac:dyDescent="0.35">
      <c r="H803" s="90"/>
      <c r="I803" s="90"/>
    </row>
    <row r="804" spans="8:9" ht="15.75" customHeight="1" x14ac:dyDescent="0.35">
      <c r="H804" s="90"/>
      <c r="I804" s="90"/>
    </row>
    <row r="805" spans="8:9" ht="15.75" customHeight="1" x14ac:dyDescent="0.35">
      <c r="H805" s="90"/>
      <c r="I805" s="90"/>
    </row>
    <row r="806" spans="8:9" ht="15.75" customHeight="1" x14ac:dyDescent="0.35">
      <c r="H806" s="90"/>
      <c r="I806" s="90"/>
    </row>
    <row r="807" spans="8:9" ht="15.75" customHeight="1" x14ac:dyDescent="0.35">
      <c r="H807" s="90"/>
      <c r="I807" s="90"/>
    </row>
    <row r="808" spans="8:9" ht="15.75" customHeight="1" x14ac:dyDescent="0.35">
      <c r="H808" s="90"/>
      <c r="I808" s="90"/>
    </row>
    <row r="809" spans="8:9" ht="15.75" customHeight="1" x14ac:dyDescent="0.35">
      <c r="H809" s="90"/>
      <c r="I809" s="90"/>
    </row>
    <row r="810" spans="8:9" ht="15.75" customHeight="1" x14ac:dyDescent="0.35">
      <c r="H810" s="90"/>
      <c r="I810" s="90"/>
    </row>
    <row r="811" spans="8:9" ht="15.75" customHeight="1" x14ac:dyDescent="0.35">
      <c r="H811" s="90"/>
      <c r="I811" s="90"/>
    </row>
    <row r="812" spans="8:9" ht="15.75" customHeight="1" x14ac:dyDescent="0.35">
      <c r="H812" s="90"/>
      <c r="I812" s="90"/>
    </row>
    <row r="813" spans="8:9" ht="15.75" customHeight="1" x14ac:dyDescent="0.35">
      <c r="H813" s="90"/>
      <c r="I813" s="90"/>
    </row>
    <row r="814" spans="8:9" ht="15.75" customHeight="1" x14ac:dyDescent="0.35">
      <c r="H814" s="90"/>
      <c r="I814" s="90"/>
    </row>
    <row r="815" spans="8:9" ht="15.75" customHeight="1" x14ac:dyDescent="0.35">
      <c r="H815" s="90"/>
      <c r="I815" s="90"/>
    </row>
    <row r="816" spans="8:9" ht="15.75" customHeight="1" x14ac:dyDescent="0.35">
      <c r="H816" s="90"/>
      <c r="I816" s="90"/>
    </row>
    <row r="817" spans="8:9" ht="15.75" customHeight="1" x14ac:dyDescent="0.35">
      <c r="H817" s="90"/>
      <c r="I817" s="90"/>
    </row>
    <row r="818" spans="8:9" ht="15.75" customHeight="1" x14ac:dyDescent="0.35">
      <c r="H818" s="90"/>
      <c r="I818" s="90"/>
    </row>
    <row r="819" spans="8:9" ht="15.75" customHeight="1" x14ac:dyDescent="0.35">
      <c r="H819" s="90"/>
      <c r="I819" s="90"/>
    </row>
    <row r="820" spans="8:9" ht="15.75" customHeight="1" x14ac:dyDescent="0.35">
      <c r="H820" s="90"/>
      <c r="I820" s="90"/>
    </row>
    <row r="821" spans="8:9" ht="15.75" customHeight="1" x14ac:dyDescent="0.35">
      <c r="H821" s="90"/>
      <c r="I821" s="90"/>
    </row>
    <row r="822" spans="8:9" ht="15.75" customHeight="1" x14ac:dyDescent="0.35">
      <c r="H822" s="90"/>
      <c r="I822" s="90"/>
    </row>
    <row r="823" spans="8:9" ht="15.75" customHeight="1" x14ac:dyDescent="0.35">
      <c r="H823" s="90"/>
      <c r="I823" s="90"/>
    </row>
    <row r="824" spans="8:9" ht="15.75" customHeight="1" x14ac:dyDescent="0.35">
      <c r="H824" s="90"/>
      <c r="I824" s="90"/>
    </row>
    <row r="825" spans="8:9" ht="15.75" customHeight="1" x14ac:dyDescent="0.35">
      <c r="H825" s="90"/>
      <c r="I825" s="90"/>
    </row>
    <row r="826" spans="8:9" ht="15.75" customHeight="1" x14ac:dyDescent="0.35">
      <c r="H826" s="90"/>
      <c r="I826" s="90"/>
    </row>
    <row r="827" spans="8:9" ht="15.75" customHeight="1" x14ac:dyDescent="0.35">
      <c r="H827" s="90"/>
      <c r="I827" s="90"/>
    </row>
    <row r="828" spans="8:9" ht="15.75" customHeight="1" x14ac:dyDescent="0.35">
      <c r="H828" s="90"/>
      <c r="I828" s="90"/>
    </row>
    <row r="829" spans="8:9" ht="15.75" customHeight="1" x14ac:dyDescent="0.35">
      <c r="H829" s="90"/>
      <c r="I829" s="90"/>
    </row>
    <row r="830" spans="8:9" ht="15.75" customHeight="1" x14ac:dyDescent="0.35">
      <c r="H830" s="90"/>
      <c r="I830" s="90"/>
    </row>
    <row r="831" spans="8:9" ht="15.75" customHeight="1" x14ac:dyDescent="0.35">
      <c r="H831" s="90"/>
      <c r="I831" s="90"/>
    </row>
    <row r="832" spans="8:9" ht="15.75" customHeight="1" x14ac:dyDescent="0.35">
      <c r="H832" s="90"/>
      <c r="I832" s="90"/>
    </row>
    <row r="833" spans="8:9" ht="15.75" customHeight="1" x14ac:dyDescent="0.35">
      <c r="H833" s="90"/>
      <c r="I833" s="90"/>
    </row>
    <row r="834" spans="8:9" ht="15.75" customHeight="1" x14ac:dyDescent="0.35">
      <c r="H834" s="90"/>
      <c r="I834" s="90"/>
    </row>
    <row r="835" spans="8:9" ht="15.75" customHeight="1" x14ac:dyDescent="0.35">
      <c r="H835" s="90"/>
      <c r="I835" s="90"/>
    </row>
    <row r="836" spans="8:9" ht="15.75" customHeight="1" x14ac:dyDescent="0.35">
      <c r="H836" s="90"/>
      <c r="I836" s="90"/>
    </row>
    <row r="837" spans="8:9" ht="15.75" customHeight="1" x14ac:dyDescent="0.35">
      <c r="H837" s="90"/>
      <c r="I837" s="90"/>
    </row>
    <row r="838" spans="8:9" ht="15.75" customHeight="1" x14ac:dyDescent="0.35">
      <c r="H838" s="90"/>
      <c r="I838" s="90"/>
    </row>
    <row r="839" spans="8:9" ht="15.75" customHeight="1" x14ac:dyDescent="0.35">
      <c r="H839" s="90"/>
      <c r="I839" s="90"/>
    </row>
    <row r="840" spans="8:9" ht="15.75" customHeight="1" x14ac:dyDescent="0.35">
      <c r="H840" s="90"/>
      <c r="I840" s="90"/>
    </row>
    <row r="841" spans="8:9" ht="15.75" customHeight="1" x14ac:dyDescent="0.35">
      <c r="H841" s="90"/>
      <c r="I841" s="90"/>
    </row>
    <row r="842" spans="8:9" ht="15.75" customHeight="1" x14ac:dyDescent="0.35">
      <c r="H842" s="90"/>
      <c r="I842" s="90"/>
    </row>
    <row r="843" spans="8:9" ht="15.75" customHeight="1" x14ac:dyDescent="0.35">
      <c r="H843" s="90"/>
      <c r="I843" s="90"/>
    </row>
    <row r="844" spans="8:9" ht="15.75" customHeight="1" x14ac:dyDescent="0.35">
      <c r="H844" s="90"/>
      <c r="I844" s="90"/>
    </row>
    <row r="845" spans="8:9" ht="15.75" customHeight="1" x14ac:dyDescent="0.35">
      <c r="H845" s="90"/>
      <c r="I845" s="90"/>
    </row>
    <row r="846" spans="8:9" ht="15.75" customHeight="1" x14ac:dyDescent="0.35">
      <c r="H846" s="90"/>
      <c r="I846" s="90"/>
    </row>
    <row r="847" spans="8:9" ht="15.75" customHeight="1" x14ac:dyDescent="0.35">
      <c r="H847" s="90"/>
      <c r="I847" s="90"/>
    </row>
    <row r="848" spans="8:9" ht="15.75" customHeight="1" x14ac:dyDescent="0.35">
      <c r="H848" s="90"/>
      <c r="I848" s="90"/>
    </row>
    <row r="849" spans="8:9" ht="15.75" customHeight="1" x14ac:dyDescent="0.35">
      <c r="H849" s="90"/>
      <c r="I849" s="90"/>
    </row>
    <row r="850" spans="8:9" ht="15.75" customHeight="1" x14ac:dyDescent="0.35">
      <c r="H850" s="90"/>
      <c r="I850" s="90"/>
    </row>
    <row r="851" spans="8:9" ht="15.75" customHeight="1" x14ac:dyDescent="0.35">
      <c r="H851" s="90"/>
      <c r="I851" s="90"/>
    </row>
    <row r="852" spans="8:9" ht="15.75" customHeight="1" x14ac:dyDescent="0.35">
      <c r="H852" s="90"/>
      <c r="I852" s="90"/>
    </row>
    <row r="853" spans="8:9" ht="15.75" customHeight="1" x14ac:dyDescent="0.35">
      <c r="H853" s="90"/>
      <c r="I853" s="90"/>
    </row>
    <row r="854" spans="8:9" ht="15.75" customHeight="1" x14ac:dyDescent="0.35">
      <c r="H854" s="90"/>
      <c r="I854" s="90"/>
    </row>
    <row r="855" spans="8:9" ht="15.75" customHeight="1" x14ac:dyDescent="0.35">
      <c r="H855" s="90"/>
      <c r="I855" s="90"/>
    </row>
    <row r="856" spans="8:9" ht="15.75" customHeight="1" x14ac:dyDescent="0.35">
      <c r="H856" s="90"/>
      <c r="I856" s="90"/>
    </row>
    <row r="857" spans="8:9" ht="15.75" customHeight="1" x14ac:dyDescent="0.35">
      <c r="H857" s="90"/>
      <c r="I857" s="90"/>
    </row>
    <row r="858" spans="8:9" ht="15.75" customHeight="1" x14ac:dyDescent="0.35">
      <c r="H858" s="90"/>
      <c r="I858" s="90"/>
    </row>
    <row r="859" spans="8:9" ht="15.75" customHeight="1" x14ac:dyDescent="0.35">
      <c r="H859" s="90"/>
      <c r="I859" s="90"/>
    </row>
    <row r="860" spans="8:9" ht="15.75" customHeight="1" x14ac:dyDescent="0.35">
      <c r="H860" s="90"/>
      <c r="I860" s="90"/>
    </row>
    <row r="861" spans="8:9" ht="15.75" customHeight="1" x14ac:dyDescent="0.35">
      <c r="H861" s="90"/>
      <c r="I861" s="90"/>
    </row>
    <row r="862" spans="8:9" ht="15.75" customHeight="1" x14ac:dyDescent="0.35">
      <c r="H862" s="90"/>
      <c r="I862" s="90"/>
    </row>
    <row r="863" spans="8:9" ht="15.75" customHeight="1" x14ac:dyDescent="0.35">
      <c r="H863" s="90"/>
      <c r="I863" s="90"/>
    </row>
    <row r="864" spans="8:9" ht="15.75" customHeight="1" x14ac:dyDescent="0.35">
      <c r="H864" s="90"/>
      <c r="I864" s="90"/>
    </row>
    <row r="865" spans="8:9" ht="15.75" customHeight="1" x14ac:dyDescent="0.35">
      <c r="H865" s="90"/>
      <c r="I865" s="90"/>
    </row>
    <row r="866" spans="8:9" ht="15.75" customHeight="1" x14ac:dyDescent="0.35">
      <c r="H866" s="90"/>
      <c r="I866" s="90"/>
    </row>
    <row r="867" spans="8:9" ht="15.75" customHeight="1" x14ac:dyDescent="0.35">
      <c r="H867" s="90"/>
      <c r="I867" s="90"/>
    </row>
    <row r="868" spans="8:9" ht="15.75" customHeight="1" x14ac:dyDescent="0.35">
      <c r="H868" s="90"/>
      <c r="I868" s="90"/>
    </row>
    <row r="869" spans="8:9" ht="15.75" customHeight="1" x14ac:dyDescent="0.35">
      <c r="H869" s="90"/>
      <c r="I869" s="90"/>
    </row>
    <row r="870" spans="8:9" ht="15.75" customHeight="1" x14ac:dyDescent="0.35">
      <c r="H870" s="90"/>
      <c r="I870" s="90"/>
    </row>
    <row r="871" spans="8:9" ht="15.75" customHeight="1" x14ac:dyDescent="0.35">
      <c r="H871" s="90"/>
      <c r="I871" s="90"/>
    </row>
    <row r="872" spans="8:9" ht="15.75" customHeight="1" x14ac:dyDescent="0.35">
      <c r="H872" s="90"/>
      <c r="I872" s="90"/>
    </row>
    <row r="873" spans="8:9" ht="15.75" customHeight="1" x14ac:dyDescent="0.35">
      <c r="H873" s="90"/>
      <c r="I873" s="90"/>
    </row>
    <row r="874" spans="8:9" ht="15.75" customHeight="1" x14ac:dyDescent="0.35">
      <c r="H874" s="90"/>
      <c r="I874" s="90"/>
    </row>
    <row r="875" spans="8:9" ht="15.75" customHeight="1" x14ac:dyDescent="0.35">
      <c r="H875" s="90"/>
      <c r="I875" s="90"/>
    </row>
    <row r="876" spans="8:9" ht="15.75" customHeight="1" x14ac:dyDescent="0.35">
      <c r="H876" s="90"/>
      <c r="I876" s="90"/>
    </row>
    <row r="877" spans="8:9" ht="15.75" customHeight="1" x14ac:dyDescent="0.35">
      <c r="H877" s="90"/>
      <c r="I877" s="90"/>
    </row>
    <row r="878" spans="8:9" ht="15.75" customHeight="1" x14ac:dyDescent="0.35">
      <c r="H878" s="90"/>
      <c r="I878" s="90"/>
    </row>
    <row r="879" spans="8:9" ht="15.75" customHeight="1" x14ac:dyDescent="0.35">
      <c r="H879" s="90"/>
      <c r="I879" s="90"/>
    </row>
    <row r="880" spans="8:9" ht="15.75" customHeight="1" x14ac:dyDescent="0.35">
      <c r="H880" s="90"/>
      <c r="I880" s="90"/>
    </row>
    <row r="881" spans="8:9" ht="15.75" customHeight="1" x14ac:dyDescent="0.35">
      <c r="H881" s="90"/>
      <c r="I881" s="90"/>
    </row>
    <row r="882" spans="8:9" ht="15.75" customHeight="1" x14ac:dyDescent="0.35">
      <c r="H882" s="90"/>
      <c r="I882" s="90"/>
    </row>
    <row r="883" spans="8:9" ht="15.75" customHeight="1" x14ac:dyDescent="0.35">
      <c r="H883" s="90"/>
      <c r="I883" s="90"/>
    </row>
    <row r="884" spans="8:9" ht="15.75" customHeight="1" x14ac:dyDescent="0.35">
      <c r="H884" s="90"/>
      <c r="I884" s="90"/>
    </row>
    <row r="885" spans="8:9" ht="15.75" customHeight="1" x14ac:dyDescent="0.35">
      <c r="H885" s="90"/>
      <c r="I885" s="90"/>
    </row>
    <row r="886" spans="8:9" ht="15.75" customHeight="1" x14ac:dyDescent="0.35">
      <c r="H886" s="90"/>
      <c r="I886" s="90"/>
    </row>
    <row r="887" spans="8:9" ht="15.75" customHeight="1" x14ac:dyDescent="0.35">
      <c r="H887" s="90"/>
      <c r="I887" s="90"/>
    </row>
    <row r="888" spans="8:9" ht="15.75" customHeight="1" x14ac:dyDescent="0.35">
      <c r="H888" s="90"/>
      <c r="I888" s="90"/>
    </row>
    <row r="889" spans="8:9" ht="15.75" customHeight="1" x14ac:dyDescent="0.35">
      <c r="H889" s="90"/>
      <c r="I889" s="90"/>
    </row>
    <row r="890" spans="8:9" ht="15.75" customHeight="1" x14ac:dyDescent="0.35">
      <c r="H890" s="90"/>
      <c r="I890" s="90"/>
    </row>
    <row r="891" spans="8:9" ht="15.75" customHeight="1" x14ac:dyDescent="0.35">
      <c r="H891" s="90"/>
      <c r="I891" s="90"/>
    </row>
    <row r="892" spans="8:9" ht="15.75" customHeight="1" x14ac:dyDescent="0.35">
      <c r="H892" s="90"/>
      <c r="I892" s="90"/>
    </row>
    <row r="893" spans="8:9" ht="15.75" customHeight="1" x14ac:dyDescent="0.35">
      <c r="H893" s="90"/>
      <c r="I893" s="90"/>
    </row>
    <row r="894" spans="8:9" ht="15.75" customHeight="1" x14ac:dyDescent="0.35">
      <c r="H894" s="90"/>
      <c r="I894" s="90"/>
    </row>
    <row r="895" spans="8:9" ht="15.75" customHeight="1" x14ac:dyDescent="0.35">
      <c r="H895" s="90"/>
      <c r="I895" s="90"/>
    </row>
    <row r="896" spans="8:9" ht="15.75" customHeight="1" x14ac:dyDescent="0.35">
      <c r="H896" s="90"/>
      <c r="I896" s="90"/>
    </row>
    <row r="897" spans="8:9" ht="15.75" customHeight="1" x14ac:dyDescent="0.35">
      <c r="H897" s="90"/>
      <c r="I897" s="90"/>
    </row>
    <row r="898" spans="8:9" ht="15.75" customHeight="1" x14ac:dyDescent="0.35">
      <c r="H898" s="90"/>
      <c r="I898" s="90"/>
    </row>
    <row r="899" spans="8:9" ht="15.75" customHeight="1" x14ac:dyDescent="0.35">
      <c r="H899" s="90"/>
      <c r="I899" s="90"/>
    </row>
    <row r="900" spans="8:9" ht="15.75" customHeight="1" x14ac:dyDescent="0.35">
      <c r="H900" s="90"/>
      <c r="I900" s="90"/>
    </row>
    <row r="901" spans="8:9" ht="15.75" customHeight="1" x14ac:dyDescent="0.35">
      <c r="H901" s="90"/>
      <c r="I901" s="90"/>
    </row>
    <row r="902" spans="8:9" ht="15.75" customHeight="1" x14ac:dyDescent="0.35">
      <c r="H902" s="90"/>
      <c r="I902" s="90"/>
    </row>
    <row r="903" spans="8:9" ht="15.75" customHeight="1" x14ac:dyDescent="0.35">
      <c r="H903" s="90"/>
      <c r="I903" s="90"/>
    </row>
    <row r="904" spans="8:9" ht="15.75" customHeight="1" x14ac:dyDescent="0.35">
      <c r="H904" s="90"/>
      <c r="I904" s="90"/>
    </row>
    <row r="905" spans="8:9" ht="15.75" customHeight="1" x14ac:dyDescent="0.35">
      <c r="H905" s="90"/>
      <c r="I905" s="90"/>
    </row>
    <row r="906" spans="8:9" ht="15.75" customHeight="1" x14ac:dyDescent="0.35">
      <c r="H906" s="90"/>
      <c r="I906" s="90"/>
    </row>
    <row r="907" spans="8:9" ht="15.75" customHeight="1" x14ac:dyDescent="0.35">
      <c r="H907" s="90"/>
      <c r="I907" s="90"/>
    </row>
    <row r="908" spans="8:9" ht="15.75" customHeight="1" x14ac:dyDescent="0.35">
      <c r="H908" s="90"/>
      <c r="I908" s="90"/>
    </row>
    <row r="909" spans="8:9" ht="15.75" customHeight="1" x14ac:dyDescent="0.35">
      <c r="H909" s="90"/>
      <c r="I909" s="90"/>
    </row>
    <row r="910" spans="8:9" ht="15.75" customHeight="1" x14ac:dyDescent="0.35">
      <c r="H910" s="90"/>
      <c r="I910" s="90"/>
    </row>
    <row r="911" spans="8:9" ht="15.75" customHeight="1" x14ac:dyDescent="0.35">
      <c r="H911" s="90"/>
      <c r="I911" s="90"/>
    </row>
    <row r="912" spans="8:9" ht="15.75" customHeight="1" x14ac:dyDescent="0.35">
      <c r="H912" s="90"/>
      <c r="I912" s="90"/>
    </row>
    <row r="913" spans="8:9" ht="15.75" customHeight="1" x14ac:dyDescent="0.35">
      <c r="H913" s="90"/>
      <c r="I913" s="90"/>
    </row>
    <row r="914" spans="8:9" ht="15.75" customHeight="1" x14ac:dyDescent="0.35">
      <c r="H914" s="90"/>
      <c r="I914" s="90"/>
    </row>
    <row r="915" spans="8:9" ht="15.75" customHeight="1" x14ac:dyDescent="0.35">
      <c r="H915" s="90"/>
      <c r="I915" s="90"/>
    </row>
    <row r="916" spans="8:9" ht="15.75" customHeight="1" x14ac:dyDescent="0.35">
      <c r="H916" s="90"/>
      <c r="I916" s="90"/>
    </row>
    <row r="917" spans="8:9" ht="15.75" customHeight="1" x14ac:dyDescent="0.35">
      <c r="H917" s="90"/>
      <c r="I917" s="90"/>
    </row>
    <row r="918" spans="8:9" ht="15.75" customHeight="1" x14ac:dyDescent="0.35">
      <c r="H918" s="90"/>
      <c r="I918" s="90"/>
    </row>
    <row r="919" spans="8:9" ht="15.75" customHeight="1" x14ac:dyDescent="0.35">
      <c r="H919" s="90"/>
      <c r="I919" s="90"/>
    </row>
    <row r="920" spans="8:9" ht="15.75" customHeight="1" x14ac:dyDescent="0.35">
      <c r="H920" s="90"/>
      <c r="I920" s="90"/>
    </row>
    <row r="921" spans="8:9" ht="15.75" customHeight="1" x14ac:dyDescent="0.35">
      <c r="H921" s="90"/>
      <c r="I921" s="90"/>
    </row>
    <row r="922" spans="8:9" ht="15.75" customHeight="1" x14ac:dyDescent="0.35">
      <c r="H922" s="90"/>
      <c r="I922" s="90"/>
    </row>
    <row r="923" spans="8:9" ht="15.75" customHeight="1" x14ac:dyDescent="0.35">
      <c r="H923" s="90"/>
      <c r="I923" s="90"/>
    </row>
    <row r="924" spans="8:9" ht="15.75" customHeight="1" x14ac:dyDescent="0.35">
      <c r="H924" s="90"/>
      <c r="I924" s="90"/>
    </row>
    <row r="925" spans="8:9" ht="15.75" customHeight="1" x14ac:dyDescent="0.35">
      <c r="H925" s="90"/>
      <c r="I925" s="90"/>
    </row>
    <row r="926" spans="8:9" ht="15.75" customHeight="1" x14ac:dyDescent="0.35">
      <c r="H926" s="90"/>
      <c r="I926" s="90"/>
    </row>
    <row r="927" spans="8:9" ht="15.75" customHeight="1" x14ac:dyDescent="0.35">
      <c r="H927" s="90"/>
      <c r="I927" s="90"/>
    </row>
    <row r="928" spans="8:9" ht="15.75" customHeight="1" x14ac:dyDescent="0.35">
      <c r="H928" s="90"/>
      <c r="I928" s="90"/>
    </row>
    <row r="929" spans="8:9" ht="15.75" customHeight="1" x14ac:dyDescent="0.35">
      <c r="H929" s="90"/>
      <c r="I929" s="90"/>
    </row>
    <row r="930" spans="8:9" ht="15.75" customHeight="1" x14ac:dyDescent="0.35">
      <c r="H930" s="90"/>
      <c r="I930" s="90"/>
    </row>
    <row r="931" spans="8:9" ht="15.75" customHeight="1" x14ac:dyDescent="0.35">
      <c r="H931" s="90"/>
      <c r="I931" s="90"/>
    </row>
    <row r="932" spans="8:9" ht="15.75" customHeight="1" x14ac:dyDescent="0.35">
      <c r="H932" s="90"/>
      <c r="I932" s="90"/>
    </row>
    <row r="933" spans="8:9" ht="15.75" customHeight="1" x14ac:dyDescent="0.35">
      <c r="H933" s="90"/>
      <c r="I933" s="90"/>
    </row>
    <row r="934" spans="8:9" ht="15.75" customHeight="1" x14ac:dyDescent="0.35">
      <c r="H934" s="90"/>
      <c r="I934" s="90"/>
    </row>
    <row r="935" spans="8:9" ht="15.75" customHeight="1" x14ac:dyDescent="0.35">
      <c r="H935" s="90"/>
      <c r="I935" s="90"/>
    </row>
    <row r="936" spans="8:9" ht="15.75" customHeight="1" x14ac:dyDescent="0.35">
      <c r="H936" s="90"/>
      <c r="I936" s="90"/>
    </row>
    <row r="937" spans="8:9" ht="15.75" customHeight="1" x14ac:dyDescent="0.35">
      <c r="H937" s="90"/>
      <c r="I937" s="90"/>
    </row>
    <row r="938" spans="8:9" ht="15.75" customHeight="1" x14ac:dyDescent="0.35">
      <c r="H938" s="90"/>
      <c r="I938" s="90"/>
    </row>
    <row r="939" spans="8:9" ht="15.75" customHeight="1" x14ac:dyDescent="0.35">
      <c r="H939" s="90"/>
      <c r="I939" s="90"/>
    </row>
    <row r="940" spans="8:9" ht="15.75" customHeight="1" x14ac:dyDescent="0.35">
      <c r="H940" s="90"/>
      <c r="I940" s="90"/>
    </row>
    <row r="941" spans="8:9" ht="15.75" customHeight="1" x14ac:dyDescent="0.35">
      <c r="H941" s="90"/>
      <c r="I941" s="90"/>
    </row>
    <row r="942" spans="8:9" ht="15.75" customHeight="1" x14ac:dyDescent="0.35">
      <c r="H942" s="90"/>
      <c r="I942" s="90"/>
    </row>
    <row r="943" spans="8:9" ht="15.75" customHeight="1" x14ac:dyDescent="0.35">
      <c r="H943" s="90"/>
      <c r="I943" s="90"/>
    </row>
    <row r="944" spans="8:9" ht="15.75" customHeight="1" x14ac:dyDescent="0.35">
      <c r="H944" s="90"/>
      <c r="I944" s="90"/>
    </row>
    <row r="945" spans="8:9" ht="15.75" customHeight="1" x14ac:dyDescent="0.35">
      <c r="H945" s="90"/>
      <c r="I945" s="90"/>
    </row>
    <row r="946" spans="8:9" ht="15.75" customHeight="1" x14ac:dyDescent="0.35">
      <c r="H946" s="90"/>
      <c r="I946" s="90"/>
    </row>
    <row r="947" spans="8:9" ht="15.75" customHeight="1" x14ac:dyDescent="0.35">
      <c r="H947" s="90"/>
      <c r="I947" s="90"/>
    </row>
    <row r="948" spans="8:9" ht="15.75" customHeight="1" x14ac:dyDescent="0.35">
      <c r="H948" s="90"/>
      <c r="I948" s="90"/>
    </row>
    <row r="949" spans="8:9" ht="15.75" customHeight="1" x14ac:dyDescent="0.35">
      <c r="H949" s="90"/>
      <c r="I949" s="90"/>
    </row>
    <row r="950" spans="8:9" ht="15.75" customHeight="1" x14ac:dyDescent="0.35">
      <c r="H950" s="90"/>
      <c r="I950" s="90"/>
    </row>
    <row r="951" spans="8:9" ht="15.75" customHeight="1" x14ac:dyDescent="0.35">
      <c r="H951" s="90"/>
      <c r="I951" s="90"/>
    </row>
    <row r="952" spans="8:9" ht="15.75" customHeight="1" x14ac:dyDescent="0.35">
      <c r="H952" s="90"/>
      <c r="I952" s="90"/>
    </row>
    <row r="953" spans="8:9" ht="15.75" customHeight="1" x14ac:dyDescent="0.35">
      <c r="H953" s="90"/>
      <c r="I953" s="90"/>
    </row>
    <row r="954" spans="8:9" ht="15.75" customHeight="1" x14ac:dyDescent="0.35">
      <c r="H954" s="90"/>
      <c r="I954" s="90"/>
    </row>
    <row r="955" spans="8:9" ht="15.75" customHeight="1" x14ac:dyDescent="0.35">
      <c r="H955" s="90"/>
      <c r="I955" s="90"/>
    </row>
    <row r="956" spans="8:9" ht="15.75" customHeight="1" x14ac:dyDescent="0.35">
      <c r="H956" s="90"/>
      <c r="I956" s="90"/>
    </row>
    <row r="957" spans="8:9" ht="15.75" customHeight="1" x14ac:dyDescent="0.35">
      <c r="H957" s="90"/>
      <c r="I957" s="90"/>
    </row>
    <row r="958" spans="8:9" ht="15.75" customHeight="1" x14ac:dyDescent="0.35">
      <c r="H958" s="90"/>
      <c r="I958" s="90"/>
    </row>
    <row r="959" spans="8:9" ht="15.75" customHeight="1" x14ac:dyDescent="0.35">
      <c r="H959" s="90"/>
      <c r="I959" s="90"/>
    </row>
    <row r="960" spans="8:9" ht="15.75" customHeight="1" x14ac:dyDescent="0.35">
      <c r="H960" s="90"/>
      <c r="I960" s="90"/>
    </row>
    <row r="961" spans="8:9" ht="15.75" customHeight="1" x14ac:dyDescent="0.35">
      <c r="H961" s="90"/>
      <c r="I961" s="90"/>
    </row>
    <row r="962" spans="8:9" ht="15.75" customHeight="1" x14ac:dyDescent="0.35">
      <c r="H962" s="90"/>
      <c r="I962" s="90"/>
    </row>
    <row r="963" spans="8:9" ht="15.75" customHeight="1" x14ac:dyDescent="0.35">
      <c r="H963" s="90"/>
      <c r="I963" s="90"/>
    </row>
    <row r="964" spans="8:9" ht="15.75" customHeight="1" x14ac:dyDescent="0.35">
      <c r="H964" s="90"/>
      <c r="I964" s="90"/>
    </row>
    <row r="965" spans="8:9" ht="15.75" customHeight="1" x14ac:dyDescent="0.35">
      <c r="H965" s="90"/>
      <c r="I965" s="90"/>
    </row>
    <row r="966" spans="8:9" ht="15.75" customHeight="1" x14ac:dyDescent="0.35">
      <c r="H966" s="90"/>
      <c r="I966" s="90"/>
    </row>
    <row r="967" spans="8:9" ht="15.75" customHeight="1" x14ac:dyDescent="0.35">
      <c r="H967" s="90"/>
      <c r="I967" s="90"/>
    </row>
    <row r="968" spans="8:9" ht="15.75" customHeight="1" x14ac:dyDescent="0.35">
      <c r="H968" s="90"/>
      <c r="I968" s="90"/>
    </row>
    <row r="969" spans="8:9" ht="15.75" customHeight="1" x14ac:dyDescent="0.35">
      <c r="H969" s="90"/>
      <c r="I969" s="90"/>
    </row>
    <row r="970" spans="8:9" ht="15.75" customHeight="1" x14ac:dyDescent="0.35">
      <c r="H970" s="90"/>
      <c r="I970" s="90"/>
    </row>
    <row r="971" spans="8:9" ht="15.75" customHeight="1" x14ac:dyDescent="0.35">
      <c r="H971" s="90"/>
      <c r="I971" s="90"/>
    </row>
    <row r="972" spans="8:9" ht="15.75" customHeight="1" x14ac:dyDescent="0.35">
      <c r="H972" s="90"/>
      <c r="I972" s="90"/>
    </row>
    <row r="973" spans="8:9" ht="15.75" customHeight="1" x14ac:dyDescent="0.35">
      <c r="H973" s="90"/>
      <c r="I973" s="90"/>
    </row>
    <row r="974" spans="8:9" ht="15.75" customHeight="1" x14ac:dyDescent="0.35">
      <c r="H974" s="90"/>
      <c r="I974" s="90"/>
    </row>
    <row r="975" spans="8:9" ht="15.75" customHeight="1" x14ac:dyDescent="0.35">
      <c r="H975" s="90"/>
      <c r="I975" s="90"/>
    </row>
    <row r="976" spans="8:9" ht="15.75" customHeight="1" x14ac:dyDescent="0.35">
      <c r="H976" s="90"/>
      <c r="I976" s="90"/>
    </row>
    <row r="977" spans="8:9" ht="15.75" customHeight="1" x14ac:dyDescent="0.35">
      <c r="H977" s="90"/>
      <c r="I977" s="90"/>
    </row>
    <row r="978" spans="8:9" ht="15.75" customHeight="1" x14ac:dyDescent="0.35">
      <c r="H978" s="90"/>
      <c r="I978" s="90"/>
    </row>
    <row r="979" spans="8:9" ht="15.75" customHeight="1" x14ac:dyDescent="0.35">
      <c r="H979" s="90"/>
      <c r="I979" s="90"/>
    </row>
    <row r="980" spans="8:9" ht="15.75" customHeight="1" x14ac:dyDescent="0.35">
      <c r="H980" s="90"/>
      <c r="I980" s="90"/>
    </row>
    <row r="981" spans="8:9" ht="15.75" customHeight="1" x14ac:dyDescent="0.35">
      <c r="H981" s="90"/>
      <c r="I981" s="90"/>
    </row>
    <row r="982" spans="8:9" ht="15.75" customHeight="1" x14ac:dyDescent="0.35">
      <c r="H982" s="90"/>
      <c r="I982" s="90"/>
    </row>
    <row r="983" spans="8:9" ht="15.75" customHeight="1" x14ac:dyDescent="0.35">
      <c r="H983" s="90"/>
      <c r="I983" s="90"/>
    </row>
    <row r="984" spans="8:9" ht="15.75" customHeight="1" x14ac:dyDescent="0.35">
      <c r="H984" s="90"/>
      <c r="I984" s="90"/>
    </row>
    <row r="985" spans="8:9" ht="15.75" customHeight="1" x14ac:dyDescent="0.35">
      <c r="H985" s="90"/>
      <c r="I985" s="90"/>
    </row>
    <row r="986" spans="8:9" ht="15.75" customHeight="1" x14ac:dyDescent="0.35">
      <c r="H986" s="90"/>
      <c r="I986" s="90"/>
    </row>
    <row r="987" spans="8:9" ht="15.75" customHeight="1" x14ac:dyDescent="0.35">
      <c r="H987" s="90"/>
      <c r="I987" s="90"/>
    </row>
    <row r="988" spans="8:9" ht="15.75" customHeight="1" x14ac:dyDescent="0.35">
      <c r="H988" s="90"/>
      <c r="I988" s="90"/>
    </row>
    <row r="989" spans="8:9" ht="15.75" customHeight="1" x14ac:dyDescent="0.35">
      <c r="H989" s="90"/>
      <c r="I989" s="90"/>
    </row>
    <row r="990" spans="8:9" ht="15.75" customHeight="1" x14ac:dyDescent="0.35">
      <c r="H990" s="90"/>
      <c r="I990" s="90"/>
    </row>
    <row r="991" spans="8:9" ht="15.75" customHeight="1" x14ac:dyDescent="0.35">
      <c r="H991" s="90"/>
      <c r="I991" s="90"/>
    </row>
    <row r="992" spans="8:9" ht="15.75" customHeight="1" x14ac:dyDescent="0.35">
      <c r="H992" s="90"/>
      <c r="I992" s="90"/>
    </row>
    <row r="993" spans="8:9" ht="15.75" customHeight="1" x14ac:dyDescent="0.35">
      <c r="H993" s="90"/>
      <c r="I993" s="90"/>
    </row>
    <row r="994" spans="8:9" ht="15.75" customHeight="1" x14ac:dyDescent="0.35">
      <c r="H994" s="90"/>
      <c r="I994" s="90"/>
    </row>
    <row r="995" spans="8:9" ht="15.75" customHeight="1" x14ac:dyDescent="0.35">
      <c r="H995" s="90"/>
      <c r="I995" s="90"/>
    </row>
    <row r="996" spans="8:9" ht="15.75" customHeight="1" x14ac:dyDescent="0.35">
      <c r="H996" s="90"/>
      <c r="I996" s="90"/>
    </row>
    <row r="997" spans="8:9" ht="15.75" customHeight="1" x14ac:dyDescent="0.35">
      <c r="H997" s="90"/>
      <c r="I997" s="90"/>
    </row>
    <row r="998" spans="8:9" ht="15.75" customHeight="1" x14ac:dyDescent="0.35">
      <c r="H998" s="90"/>
      <c r="I998" s="90"/>
    </row>
    <row r="999" spans="8:9" ht="15.75" customHeight="1" x14ac:dyDescent="0.35">
      <c r="H999" s="90"/>
      <c r="I999" s="90"/>
    </row>
    <row r="1000" spans="8:9" ht="15.75" customHeight="1" x14ac:dyDescent="0.35">
      <c r="H1000" s="90"/>
      <c r="I1000" s="90"/>
    </row>
    <row r="1001" spans="8:9" ht="15.75" customHeight="1" x14ac:dyDescent="0.35">
      <c r="H1001" s="90"/>
      <c r="I1001" s="90"/>
    </row>
    <row r="1002" spans="8:9" ht="15.75" customHeight="1" x14ac:dyDescent="0.35">
      <c r="H1002" s="90"/>
      <c r="I1002" s="90"/>
    </row>
    <row r="1003" spans="8:9" ht="15.75" customHeight="1" x14ac:dyDescent="0.35">
      <c r="H1003" s="90"/>
      <c r="I1003" s="90"/>
    </row>
  </sheetData>
  <mergeCells count="14">
    <mergeCell ref="O2:P2"/>
    <mergeCell ref="T2:T5"/>
    <mergeCell ref="O3:P3"/>
    <mergeCell ref="E3:I3"/>
    <mergeCell ref="G69:H69"/>
    <mergeCell ref="I69:I70"/>
    <mergeCell ref="G70:H70"/>
    <mergeCell ref="L2:L4"/>
    <mergeCell ref="M2:N3"/>
    <mergeCell ref="A1:I1"/>
    <mergeCell ref="A2:A4"/>
    <mergeCell ref="B2:B4"/>
    <mergeCell ref="C2:D3"/>
    <mergeCell ref="E2:I2"/>
  </mergeCells>
  <pageMargins left="0.25" right="0.25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1003"/>
  <sheetViews>
    <sheetView workbookViewId="0">
      <pane xSplit="1" topLeftCell="B1" activePane="topRight" state="frozen"/>
      <selection pane="topRight" activeCell="C2" sqref="C2"/>
    </sheetView>
  </sheetViews>
  <sheetFormatPr defaultColWidth="14.453125" defaultRowHeight="15" customHeight="1" x14ac:dyDescent="0.35"/>
  <cols>
    <col min="1" max="1" width="41.26953125" customWidth="1"/>
    <col min="2" max="4" width="22.7265625" customWidth="1"/>
    <col min="5" max="6" width="15.7265625" customWidth="1"/>
    <col min="7" max="7" width="19.81640625" customWidth="1"/>
    <col min="8" max="9" width="17.7265625" customWidth="1"/>
    <col min="10" max="11" width="24.54296875" customWidth="1"/>
    <col min="12" max="15" width="22.7265625" customWidth="1"/>
    <col min="16" max="16" width="17.7265625" customWidth="1"/>
    <col min="17" max="17" width="24.08984375" customWidth="1"/>
    <col min="18" max="18" width="22.08984375" customWidth="1"/>
    <col min="19" max="19" width="8.26953125" customWidth="1"/>
    <col min="20" max="20" width="36.7265625" customWidth="1"/>
    <col min="21" max="31" width="8.7265625" customWidth="1"/>
  </cols>
  <sheetData>
    <row r="1" spans="1:20" ht="26" x14ac:dyDescent="0.6">
      <c r="A1" s="108">
        <v>46309</v>
      </c>
      <c r="B1" s="109"/>
      <c r="C1" s="109"/>
      <c r="D1" s="109"/>
      <c r="E1" s="109"/>
      <c r="F1" s="109"/>
      <c r="G1" s="109"/>
      <c r="H1" s="109"/>
      <c r="I1" s="109"/>
    </row>
    <row r="2" spans="1:20" ht="27" customHeight="1" x14ac:dyDescent="0.6">
      <c r="A2" s="110" t="s">
        <v>0</v>
      </c>
      <c r="B2" s="113" t="s">
        <v>1</v>
      </c>
      <c r="C2" s="116"/>
      <c r="D2" s="117"/>
      <c r="E2" s="119" t="s">
        <v>2</v>
      </c>
      <c r="F2" s="120"/>
      <c r="G2" s="120"/>
      <c r="H2" s="120"/>
      <c r="I2" s="121"/>
      <c r="J2" s="1"/>
      <c r="K2" s="1"/>
      <c r="L2" s="129" t="s">
        <v>1</v>
      </c>
      <c r="M2" s="130"/>
      <c r="N2" s="131"/>
      <c r="O2" s="122" t="s">
        <v>3</v>
      </c>
      <c r="P2" s="121"/>
      <c r="Q2" s="3"/>
      <c r="R2" s="3"/>
      <c r="T2" s="123" t="s">
        <v>4</v>
      </c>
    </row>
    <row r="3" spans="1:20" ht="27" customHeight="1" x14ac:dyDescent="0.6">
      <c r="A3" s="111"/>
      <c r="B3" s="114"/>
      <c r="C3" s="118"/>
      <c r="D3" s="109"/>
      <c r="E3" s="125" t="s">
        <v>5</v>
      </c>
      <c r="F3" s="120"/>
      <c r="G3" s="120"/>
      <c r="H3" s="120"/>
      <c r="I3" s="121"/>
      <c r="J3" s="1"/>
      <c r="K3" s="2"/>
      <c r="L3" s="114"/>
      <c r="M3" s="132"/>
      <c r="N3" s="133"/>
      <c r="O3" s="124" t="s">
        <v>6</v>
      </c>
      <c r="P3" s="121"/>
      <c r="Q3" s="3"/>
      <c r="R3" s="3"/>
      <c r="T3" s="114"/>
    </row>
    <row r="4" spans="1:20" ht="27" customHeight="1" x14ac:dyDescent="0.6">
      <c r="A4" s="112"/>
      <c r="B4" s="115"/>
      <c r="C4" s="4" t="s">
        <v>75</v>
      </c>
      <c r="D4" s="5" t="s">
        <v>8</v>
      </c>
      <c r="E4" s="6" t="s">
        <v>9</v>
      </c>
      <c r="F4" s="6" t="s">
        <v>10</v>
      </c>
      <c r="G4" s="6" t="s">
        <v>11</v>
      </c>
      <c r="H4" s="7" t="s">
        <v>12</v>
      </c>
      <c r="I4" s="8" t="s">
        <v>13</v>
      </c>
      <c r="J4" s="9" t="s">
        <v>14</v>
      </c>
      <c r="K4" s="10" t="s">
        <v>15</v>
      </c>
      <c r="L4" s="115"/>
      <c r="M4" s="11" t="s">
        <v>76</v>
      </c>
      <c r="N4" s="12" t="s">
        <v>17</v>
      </c>
      <c r="O4" s="13" t="s">
        <v>18</v>
      </c>
      <c r="P4" s="94" t="s">
        <v>13</v>
      </c>
      <c r="Q4" s="9" t="s">
        <v>14</v>
      </c>
      <c r="R4" s="10" t="s">
        <v>15</v>
      </c>
      <c r="S4" s="99"/>
      <c r="T4" s="114"/>
    </row>
    <row r="5" spans="1:20" ht="21" x14ac:dyDescent="0.5">
      <c r="A5" s="15" t="s">
        <v>19</v>
      </c>
      <c r="B5" s="16"/>
      <c r="C5" s="17"/>
      <c r="D5" s="18"/>
      <c r="E5" s="19"/>
      <c r="F5" s="19"/>
      <c r="G5" s="19"/>
      <c r="H5" s="20"/>
      <c r="I5" s="20"/>
      <c r="J5" s="21"/>
      <c r="K5" s="21"/>
      <c r="L5" s="22"/>
      <c r="M5" s="23"/>
      <c r="N5" s="24"/>
      <c r="O5" s="25"/>
      <c r="P5" s="25"/>
      <c r="Q5" s="21"/>
      <c r="R5" s="21"/>
      <c r="S5" s="100"/>
      <c r="T5" s="115"/>
    </row>
    <row r="6" spans="1:20" ht="21" x14ac:dyDescent="0.5">
      <c r="A6" s="26" t="s">
        <v>20</v>
      </c>
      <c r="B6" s="95">
        <v>180</v>
      </c>
      <c r="C6" s="28"/>
      <c r="D6" s="29"/>
      <c r="E6" s="42"/>
      <c r="F6" s="42"/>
      <c r="G6" s="42"/>
      <c r="H6" s="31">
        <f t="shared" ref="H6:H13" si="0">SUM(E6:G6)</f>
        <v>0</v>
      </c>
      <c r="I6" s="32">
        <f t="shared" ref="I6:I13" si="1">B6-H6+C6+D6</f>
        <v>180</v>
      </c>
      <c r="J6" s="33">
        <f>168+1+12</f>
        <v>181</v>
      </c>
      <c r="K6" s="33">
        <f t="shared" ref="K6:K13" si="2">J6-I6</f>
        <v>1</v>
      </c>
      <c r="L6" s="31">
        <v>0</v>
      </c>
      <c r="M6" s="34"/>
      <c r="N6" s="35"/>
      <c r="O6" s="36"/>
      <c r="P6" s="37">
        <f>L6-O6+M6+N6</f>
        <v>0</v>
      </c>
      <c r="Q6" s="33"/>
      <c r="R6" s="33">
        <f t="shared" ref="R6:R13" si="3">Q6-P6</f>
        <v>0</v>
      </c>
      <c r="S6" s="101"/>
      <c r="T6" s="38">
        <f t="shared" ref="T6:T13" si="4">I6+P6</f>
        <v>180</v>
      </c>
    </row>
    <row r="7" spans="1:20" ht="21" x14ac:dyDescent="0.5">
      <c r="A7" s="26" t="s">
        <v>21</v>
      </c>
      <c r="B7" s="95">
        <v>103</v>
      </c>
      <c r="C7" s="28"/>
      <c r="D7" s="29"/>
      <c r="E7" s="42"/>
      <c r="F7" s="42"/>
      <c r="G7" s="42"/>
      <c r="H7" s="31">
        <f t="shared" si="0"/>
        <v>0</v>
      </c>
      <c r="I7" s="32">
        <f t="shared" si="1"/>
        <v>103</v>
      </c>
      <c r="J7" s="33">
        <f>96+27</f>
        <v>123</v>
      </c>
      <c r="K7" s="33">
        <f t="shared" si="2"/>
        <v>20</v>
      </c>
      <c r="L7" s="31">
        <v>0</v>
      </c>
      <c r="M7" s="34"/>
      <c r="N7" s="40"/>
      <c r="O7" s="36"/>
      <c r="P7" s="37"/>
      <c r="Q7" s="33"/>
      <c r="R7" s="33">
        <f t="shared" si="3"/>
        <v>0</v>
      </c>
      <c r="S7" s="101"/>
      <c r="T7" s="38">
        <f t="shared" si="4"/>
        <v>103</v>
      </c>
    </row>
    <row r="8" spans="1:20" ht="21" x14ac:dyDescent="0.5">
      <c r="A8" s="26" t="s">
        <v>22</v>
      </c>
      <c r="B8" s="27">
        <v>237</v>
      </c>
      <c r="C8" s="28"/>
      <c r="D8" s="29"/>
      <c r="E8" s="42"/>
      <c r="F8" s="30"/>
      <c r="G8" s="42"/>
      <c r="H8" s="31">
        <f t="shared" si="0"/>
        <v>0</v>
      </c>
      <c r="I8" s="32">
        <f t="shared" si="1"/>
        <v>237</v>
      </c>
      <c r="J8" s="33">
        <f>238</f>
        <v>238</v>
      </c>
      <c r="K8" s="33">
        <f t="shared" si="2"/>
        <v>1</v>
      </c>
      <c r="L8" s="31">
        <v>0</v>
      </c>
      <c r="M8" s="34"/>
      <c r="N8" s="35"/>
      <c r="O8" s="36"/>
      <c r="P8" s="37"/>
      <c r="Q8" s="33"/>
      <c r="R8" s="33">
        <f t="shared" si="3"/>
        <v>0</v>
      </c>
      <c r="S8" s="101"/>
      <c r="T8" s="38">
        <f t="shared" si="4"/>
        <v>237</v>
      </c>
    </row>
    <row r="9" spans="1:20" ht="21" x14ac:dyDescent="0.5">
      <c r="A9" s="26" t="s">
        <v>23</v>
      </c>
      <c r="B9" s="95">
        <v>548</v>
      </c>
      <c r="C9" s="28"/>
      <c r="D9" s="29"/>
      <c r="E9" s="42"/>
      <c r="F9" s="42"/>
      <c r="G9" s="42"/>
      <c r="H9" s="31">
        <f t="shared" si="0"/>
        <v>0</v>
      </c>
      <c r="I9" s="32">
        <f t="shared" si="1"/>
        <v>548</v>
      </c>
      <c r="J9" s="41">
        <f>432+20</f>
        <v>452</v>
      </c>
      <c r="K9" s="33">
        <f t="shared" si="2"/>
        <v>-96</v>
      </c>
      <c r="L9" s="31">
        <v>0</v>
      </c>
      <c r="M9" s="34"/>
      <c r="N9" s="40"/>
      <c r="O9" s="36"/>
      <c r="P9" s="37"/>
      <c r="Q9" s="41"/>
      <c r="R9" s="33">
        <f t="shared" si="3"/>
        <v>0</v>
      </c>
      <c r="S9" s="101"/>
      <c r="T9" s="38">
        <f t="shared" si="4"/>
        <v>548</v>
      </c>
    </row>
    <row r="10" spans="1:20" ht="21" x14ac:dyDescent="0.5">
      <c r="A10" s="26" t="s">
        <v>24</v>
      </c>
      <c r="B10" s="95">
        <v>328</v>
      </c>
      <c r="C10" s="28"/>
      <c r="D10" s="29"/>
      <c r="E10" s="42"/>
      <c r="F10" s="30"/>
      <c r="G10" s="42"/>
      <c r="H10" s="31">
        <f t="shared" si="0"/>
        <v>0</v>
      </c>
      <c r="I10" s="32">
        <f t="shared" si="1"/>
        <v>328</v>
      </c>
      <c r="J10" s="41">
        <v>360</v>
      </c>
      <c r="K10" s="33">
        <f t="shared" si="2"/>
        <v>32</v>
      </c>
      <c r="L10" s="31">
        <v>0</v>
      </c>
      <c r="M10" s="34"/>
      <c r="N10" s="40"/>
      <c r="O10" s="36"/>
      <c r="P10" s="37"/>
      <c r="Q10" s="41"/>
      <c r="R10" s="33">
        <f t="shared" si="3"/>
        <v>0</v>
      </c>
      <c r="S10" s="101"/>
      <c r="T10" s="38">
        <f t="shared" si="4"/>
        <v>328</v>
      </c>
    </row>
    <row r="11" spans="1:20" ht="21" x14ac:dyDescent="0.5">
      <c r="A11" s="26" t="s">
        <v>25</v>
      </c>
      <c r="B11" s="95">
        <v>455</v>
      </c>
      <c r="C11" s="28"/>
      <c r="D11" s="29"/>
      <c r="E11" s="42"/>
      <c r="F11" s="42"/>
      <c r="G11" s="42"/>
      <c r="H11" s="31">
        <f t="shared" si="0"/>
        <v>0</v>
      </c>
      <c r="I11" s="32">
        <f t="shared" si="1"/>
        <v>455</v>
      </c>
      <c r="J11" s="33">
        <f>456</f>
        <v>456</v>
      </c>
      <c r="K11" s="33">
        <f t="shared" si="2"/>
        <v>1</v>
      </c>
      <c r="L11" s="31">
        <v>0</v>
      </c>
      <c r="M11" s="34"/>
      <c r="N11" s="40"/>
      <c r="O11" s="36"/>
      <c r="P11" s="37"/>
      <c r="Q11" s="33"/>
      <c r="R11" s="33">
        <f t="shared" si="3"/>
        <v>0</v>
      </c>
      <c r="S11" s="101"/>
      <c r="T11" s="38">
        <f t="shared" si="4"/>
        <v>455</v>
      </c>
    </row>
    <row r="12" spans="1:20" ht="21" x14ac:dyDescent="0.5">
      <c r="A12" s="26" t="s">
        <v>26</v>
      </c>
      <c r="B12" s="95">
        <v>38</v>
      </c>
      <c r="C12" s="28"/>
      <c r="D12" s="29"/>
      <c r="E12" s="42"/>
      <c r="F12" s="30"/>
      <c r="G12" s="30"/>
      <c r="H12" s="31">
        <f t="shared" si="0"/>
        <v>0</v>
      </c>
      <c r="I12" s="32">
        <f t="shared" si="1"/>
        <v>38</v>
      </c>
      <c r="J12" s="41">
        <v>18</v>
      </c>
      <c r="K12" s="33">
        <f t="shared" si="2"/>
        <v>-20</v>
      </c>
      <c r="L12" s="31">
        <v>0</v>
      </c>
      <c r="M12" s="34"/>
      <c r="N12" s="40"/>
      <c r="O12" s="36"/>
      <c r="P12" s="37"/>
      <c r="Q12" s="41"/>
      <c r="R12" s="33">
        <f t="shared" si="3"/>
        <v>0</v>
      </c>
      <c r="S12" s="101"/>
      <c r="T12" s="38">
        <f t="shared" si="4"/>
        <v>38</v>
      </c>
    </row>
    <row r="13" spans="1:20" ht="21" x14ac:dyDescent="0.5">
      <c r="A13" s="26" t="s">
        <v>27</v>
      </c>
      <c r="B13" s="95">
        <v>482</v>
      </c>
      <c r="C13" s="28"/>
      <c r="D13" s="29"/>
      <c r="E13" s="42"/>
      <c r="F13" s="30"/>
      <c r="G13" s="42"/>
      <c r="H13" s="31">
        <f t="shared" si="0"/>
        <v>0</v>
      </c>
      <c r="I13" s="32">
        <f t="shared" si="1"/>
        <v>482</v>
      </c>
      <c r="J13" s="33">
        <f>456+27</f>
        <v>483</v>
      </c>
      <c r="K13" s="33">
        <f t="shared" si="2"/>
        <v>1</v>
      </c>
      <c r="L13" s="31">
        <v>18</v>
      </c>
      <c r="M13" s="34"/>
      <c r="N13" s="40"/>
      <c r="O13" s="36"/>
      <c r="P13" s="37"/>
      <c r="Q13" s="41"/>
      <c r="R13" s="33">
        <f t="shared" si="3"/>
        <v>0</v>
      </c>
      <c r="S13" s="101"/>
      <c r="T13" s="38">
        <f t="shared" si="4"/>
        <v>482</v>
      </c>
    </row>
    <row r="14" spans="1:20" ht="21" x14ac:dyDescent="0.5">
      <c r="A14" s="15" t="s">
        <v>28</v>
      </c>
      <c r="B14" s="96"/>
      <c r="C14" s="45"/>
      <c r="D14" s="46"/>
      <c r="E14" s="47"/>
      <c r="F14" s="47"/>
      <c r="G14" s="47"/>
      <c r="H14" s="47"/>
      <c r="I14" s="48"/>
      <c r="J14" s="49"/>
      <c r="K14" s="50"/>
      <c r="L14" s="48"/>
      <c r="M14" s="51"/>
      <c r="N14" s="52"/>
      <c r="O14" s="47"/>
      <c r="P14" s="47"/>
      <c r="Q14" s="49"/>
      <c r="R14" s="50"/>
      <c r="S14" s="50"/>
      <c r="T14" s="47"/>
    </row>
    <row r="15" spans="1:20" ht="21" x14ac:dyDescent="0.5">
      <c r="A15" s="26" t="s">
        <v>29</v>
      </c>
      <c r="B15" s="95">
        <v>143</v>
      </c>
      <c r="C15" s="28"/>
      <c r="D15" s="29"/>
      <c r="E15" s="30"/>
      <c r="F15" s="30"/>
      <c r="G15" s="30"/>
      <c r="H15" s="31">
        <f t="shared" ref="H15:H27" si="5">SUM(E15:G15)</f>
        <v>0</v>
      </c>
      <c r="I15" s="32">
        <f t="shared" ref="I15:I27" si="6">B15-H15+C15+D15</f>
        <v>143</v>
      </c>
      <c r="J15" s="33">
        <f>132+2+9</f>
        <v>143</v>
      </c>
      <c r="K15" s="33">
        <f t="shared" ref="K15:K27" si="7">J15-I15</f>
        <v>0</v>
      </c>
      <c r="L15" s="31">
        <v>8</v>
      </c>
      <c r="M15" s="34"/>
      <c r="N15" s="40"/>
      <c r="O15" s="53"/>
      <c r="P15" s="37"/>
      <c r="Q15" s="41"/>
      <c r="R15" s="33">
        <f t="shared" ref="R15:R27" si="8">Q15-P15</f>
        <v>0</v>
      </c>
      <c r="S15" s="101"/>
      <c r="T15" s="38">
        <f t="shared" ref="T15:T27" si="9">I15+P15</f>
        <v>143</v>
      </c>
    </row>
    <row r="16" spans="1:20" ht="21" x14ac:dyDescent="0.5">
      <c r="A16" s="26" t="s">
        <v>30</v>
      </c>
      <c r="B16" s="95">
        <v>310</v>
      </c>
      <c r="C16" s="54"/>
      <c r="D16" s="29"/>
      <c r="E16" s="42"/>
      <c r="F16" s="30"/>
      <c r="G16" s="42"/>
      <c r="H16" s="31">
        <f t="shared" si="5"/>
        <v>0</v>
      </c>
      <c r="I16" s="32">
        <f t="shared" si="6"/>
        <v>310</v>
      </c>
      <c r="J16" s="33">
        <f>192+125+5</f>
        <v>322</v>
      </c>
      <c r="K16" s="33">
        <f t="shared" si="7"/>
        <v>12</v>
      </c>
      <c r="L16" s="31">
        <v>328</v>
      </c>
      <c r="M16" s="64"/>
      <c r="N16" s="35"/>
      <c r="O16" s="53"/>
      <c r="P16" s="37"/>
      <c r="Q16" s="41"/>
      <c r="R16" s="33">
        <f t="shared" si="8"/>
        <v>0</v>
      </c>
      <c r="S16" s="101"/>
      <c r="T16" s="38">
        <f t="shared" si="9"/>
        <v>310</v>
      </c>
    </row>
    <row r="17" spans="1:20" ht="21" x14ac:dyDescent="0.5">
      <c r="A17" s="26" t="s">
        <v>31</v>
      </c>
      <c r="B17" s="95">
        <v>117</v>
      </c>
      <c r="C17" s="28"/>
      <c r="D17" s="29"/>
      <c r="E17" s="30"/>
      <c r="F17" s="42"/>
      <c r="G17" s="30"/>
      <c r="H17" s="31">
        <f t="shared" si="5"/>
        <v>0</v>
      </c>
      <c r="I17" s="32">
        <f t="shared" si="6"/>
        <v>117</v>
      </c>
      <c r="J17" s="33">
        <f>117</f>
        <v>117</v>
      </c>
      <c r="K17" s="33">
        <f t="shared" si="7"/>
        <v>0</v>
      </c>
      <c r="L17" s="31">
        <v>11</v>
      </c>
      <c r="M17" s="34"/>
      <c r="N17" s="40"/>
      <c r="O17" s="36"/>
      <c r="P17" s="37"/>
      <c r="Q17" s="41"/>
      <c r="R17" s="33">
        <f t="shared" si="8"/>
        <v>0</v>
      </c>
      <c r="S17" s="101"/>
      <c r="T17" s="38">
        <f t="shared" si="9"/>
        <v>117</v>
      </c>
    </row>
    <row r="18" spans="1:20" ht="21" x14ac:dyDescent="0.5">
      <c r="A18" s="26" t="s">
        <v>32</v>
      </c>
      <c r="B18" s="95">
        <v>24</v>
      </c>
      <c r="C18" s="28"/>
      <c r="D18" s="29"/>
      <c r="E18" s="30"/>
      <c r="F18" s="30"/>
      <c r="G18" s="30"/>
      <c r="H18" s="31">
        <f t="shared" si="5"/>
        <v>0</v>
      </c>
      <c r="I18" s="32">
        <f t="shared" si="6"/>
        <v>24</v>
      </c>
      <c r="J18" s="41">
        <v>24</v>
      </c>
      <c r="K18" s="33">
        <f t="shared" si="7"/>
        <v>0</v>
      </c>
      <c r="L18" s="31">
        <v>99</v>
      </c>
      <c r="M18" s="34"/>
      <c r="N18" s="40"/>
      <c r="O18" s="53"/>
      <c r="P18" s="37"/>
      <c r="Q18" s="41"/>
      <c r="R18" s="33">
        <f t="shared" si="8"/>
        <v>0</v>
      </c>
      <c r="S18" s="101"/>
      <c r="T18" s="38">
        <f t="shared" si="9"/>
        <v>24</v>
      </c>
    </row>
    <row r="19" spans="1:20" ht="21" x14ac:dyDescent="0.5">
      <c r="A19" s="26" t="s">
        <v>33</v>
      </c>
      <c r="B19" s="95">
        <v>274</v>
      </c>
      <c r="C19" s="54"/>
      <c r="D19" s="29"/>
      <c r="E19" s="42"/>
      <c r="F19" s="30"/>
      <c r="G19" s="42"/>
      <c r="H19" s="31">
        <f t="shared" si="5"/>
        <v>0</v>
      </c>
      <c r="I19" s="32">
        <f t="shared" si="6"/>
        <v>274</v>
      </c>
      <c r="J19" s="33">
        <f>240+40</f>
        <v>280</v>
      </c>
      <c r="K19" s="33">
        <f t="shared" si="7"/>
        <v>6</v>
      </c>
      <c r="L19" s="31">
        <v>75</v>
      </c>
      <c r="M19" s="34"/>
      <c r="N19" s="40"/>
      <c r="O19" s="53"/>
      <c r="P19" s="37"/>
      <c r="Q19" s="41"/>
      <c r="R19" s="33">
        <f t="shared" si="8"/>
        <v>0</v>
      </c>
      <c r="S19" s="101"/>
      <c r="T19" s="38">
        <f t="shared" si="9"/>
        <v>274</v>
      </c>
    </row>
    <row r="20" spans="1:20" ht="21" x14ac:dyDescent="0.5">
      <c r="A20" s="26" t="s">
        <v>34</v>
      </c>
      <c r="B20" s="95">
        <v>192</v>
      </c>
      <c r="C20" s="54"/>
      <c r="D20" s="29"/>
      <c r="E20" s="42"/>
      <c r="F20" s="30"/>
      <c r="G20" s="42"/>
      <c r="H20" s="31">
        <f t="shared" si="5"/>
        <v>0</v>
      </c>
      <c r="I20" s="32">
        <f t="shared" si="6"/>
        <v>192</v>
      </c>
      <c r="J20" s="33">
        <f>12+66</f>
        <v>78</v>
      </c>
      <c r="K20" s="33">
        <f t="shared" si="7"/>
        <v>-114</v>
      </c>
      <c r="L20" s="31">
        <v>227</v>
      </c>
      <c r="M20" s="64"/>
      <c r="N20" s="35"/>
      <c r="O20" s="53"/>
      <c r="P20" s="37"/>
      <c r="Q20" s="41"/>
      <c r="R20" s="33">
        <f t="shared" si="8"/>
        <v>0</v>
      </c>
      <c r="S20" s="101"/>
      <c r="T20" s="38">
        <f t="shared" si="9"/>
        <v>192</v>
      </c>
    </row>
    <row r="21" spans="1:20" ht="15.75" customHeight="1" x14ac:dyDescent="0.5">
      <c r="A21" s="26" t="s">
        <v>35</v>
      </c>
      <c r="B21" s="95">
        <v>623</v>
      </c>
      <c r="C21" s="54"/>
      <c r="D21" s="39"/>
      <c r="E21" s="42"/>
      <c r="F21" s="42"/>
      <c r="G21" s="42"/>
      <c r="H21" s="31">
        <f t="shared" si="5"/>
        <v>0</v>
      </c>
      <c r="I21" s="32">
        <f t="shared" si="6"/>
        <v>623</v>
      </c>
      <c r="J21" s="33">
        <f>283</f>
        <v>283</v>
      </c>
      <c r="K21" s="33">
        <f t="shared" si="7"/>
        <v>-340</v>
      </c>
      <c r="L21" s="107">
        <v>240</v>
      </c>
      <c r="M21" s="64"/>
      <c r="N21" s="35"/>
      <c r="O21" s="53"/>
      <c r="P21" s="37"/>
      <c r="Q21" s="33"/>
      <c r="R21" s="33">
        <f t="shared" si="8"/>
        <v>0</v>
      </c>
      <c r="S21" s="101"/>
      <c r="T21" s="38">
        <f t="shared" si="9"/>
        <v>623</v>
      </c>
    </row>
    <row r="22" spans="1:20" ht="15.75" customHeight="1" x14ac:dyDescent="0.5">
      <c r="A22" s="26" t="s">
        <v>36</v>
      </c>
      <c r="B22" s="95">
        <v>0</v>
      </c>
      <c r="C22" s="28"/>
      <c r="D22" s="29"/>
      <c r="E22" s="30"/>
      <c r="F22" s="30"/>
      <c r="G22" s="30"/>
      <c r="H22" s="31">
        <f t="shared" si="5"/>
        <v>0</v>
      </c>
      <c r="I22" s="32">
        <f t="shared" si="6"/>
        <v>0</v>
      </c>
      <c r="J22" s="33">
        <f>0</f>
        <v>0</v>
      </c>
      <c r="K22" s="33">
        <f t="shared" si="7"/>
        <v>0</v>
      </c>
      <c r="L22" s="31">
        <v>261</v>
      </c>
      <c r="M22" s="64"/>
      <c r="N22" s="35"/>
      <c r="O22" s="53"/>
      <c r="P22" s="37"/>
      <c r="Q22" s="41"/>
      <c r="R22" s="33">
        <f t="shared" si="8"/>
        <v>0</v>
      </c>
      <c r="S22" s="101"/>
      <c r="T22" s="38">
        <f t="shared" si="9"/>
        <v>0</v>
      </c>
    </row>
    <row r="23" spans="1:20" ht="15.75" customHeight="1" x14ac:dyDescent="0.5">
      <c r="A23" s="26" t="s">
        <v>24</v>
      </c>
      <c r="B23" s="95">
        <v>811</v>
      </c>
      <c r="C23" s="54"/>
      <c r="D23" s="29"/>
      <c r="E23" s="42"/>
      <c r="F23" s="42"/>
      <c r="G23" s="30"/>
      <c r="H23" s="31">
        <f t="shared" si="5"/>
        <v>0</v>
      </c>
      <c r="I23" s="32">
        <f t="shared" si="6"/>
        <v>811</v>
      </c>
      <c r="J23" s="33">
        <f>183+3+684+1</f>
        <v>871</v>
      </c>
      <c r="K23" s="33">
        <f t="shared" si="7"/>
        <v>60</v>
      </c>
      <c r="L23" s="31">
        <v>132</v>
      </c>
      <c r="M23" s="64"/>
      <c r="N23" s="35"/>
      <c r="O23" s="53"/>
      <c r="P23" s="37"/>
      <c r="Q23" s="41"/>
      <c r="R23" s="33">
        <f t="shared" si="8"/>
        <v>0</v>
      </c>
      <c r="S23" s="101"/>
      <c r="T23" s="38">
        <f t="shared" si="9"/>
        <v>811</v>
      </c>
    </row>
    <row r="24" spans="1:20" ht="15.75" customHeight="1" x14ac:dyDescent="0.5">
      <c r="A24" s="26" t="s">
        <v>37</v>
      </c>
      <c r="B24" s="95">
        <v>8</v>
      </c>
      <c r="C24" s="54"/>
      <c r="D24" s="29"/>
      <c r="E24" s="42"/>
      <c r="F24" s="30"/>
      <c r="G24" s="42"/>
      <c r="H24" s="31">
        <f t="shared" si="5"/>
        <v>0</v>
      </c>
      <c r="I24" s="32">
        <f t="shared" si="6"/>
        <v>8</v>
      </c>
      <c r="J24" s="41">
        <f>240+12</f>
        <v>252</v>
      </c>
      <c r="K24" s="33">
        <f t="shared" si="7"/>
        <v>244</v>
      </c>
      <c r="L24" s="31">
        <v>91</v>
      </c>
      <c r="M24" s="34"/>
      <c r="N24" s="40"/>
      <c r="O24" s="53"/>
      <c r="P24" s="37"/>
      <c r="Q24" s="41"/>
      <c r="R24" s="33">
        <f t="shared" si="8"/>
        <v>0</v>
      </c>
      <c r="S24" s="101"/>
      <c r="T24" s="38">
        <f t="shared" si="9"/>
        <v>8</v>
      </c>
    </row>
    <row r="25" spans="1:20" ht="15.75" customHeight="1" x14ac:dyDescent="0.5">
      <c r="A25" s="26" t="s">
        <v>38</v>
      </c>
      <c r="B25" s="95">
        <v>52</v>
      </c>
      <c r="C25" s="28"/>
      <c r="D25" s="29"/>
      <c r="E25" s="30"/>
      <c r="F25" s="30"/>
      <c r="G25" s="30"/>
      <c r="H25" s="31">
        <f t="shared" si="5"/>
        <v>0</v>
      </c>
      <c r="I25" s="32">
        <f t="shared" si="6"/>
        <v>52</v>
      </c>
      <c r="J25" s="41">
        <v>48</v>
      </c>
      <c r="K25" s="33">
        <f t="shared" si="7"/>
        <v>-4</v>
      </c>
      <c r="L25" s="31">
        <v>265</v>
      </c>
      <c r="M25" s="34"/>
      <c r="N25" s="40"/>
      <c r="O25" s="53"/>
      <c r="P25" s="37"/>
      <c r="Q25" s="41"/>
      <c r="R25" s="33">
        <f t="shared" si="8"/>
        <v>0</v>
      </c>
      <c r="S25" s="101"/>
      <c r="T25" s="38">
        <f t="shared" si="9"/>
        <v>52</v>
      </c>
    </row>
    <row r="26" spans="1:20" ht="15.75" customHeight="1" x14ac:dyDescent="0.5">
      <c r="A26" s="26" t="s">
        <v>39</v>
      </c>
      <c r="B26" s="95">
        <v>172</v>
      </c>
      <c r="C26" s="54"/>
      <c r="D26" s="29"/>
      <c r="E26" s="42"/>
      <c r="F26" s="30"/>
      <c r="G26" s="42"/>
      <c r="H26" s="31">
        <f t="shared" si="5"/>
        <v>0</v>
      </c>
      <c r="I26" s="32">
        <f t="shared" si="6"/>
        <v>172</v>
      </c>
      <c r="J26" s="41">
        <f>96+4+78</f>
        <v>178</v>
      </c>
      <c r="K26" s="33">
        <f t="shared" si="7"/>
        <v>6</v>
      </c>
      <c r="L26" s="31">
        <v>156</v>
      </c>
      <c r="M26" s="34"/>
      <c r="N26" s="40"/>
      <c r="O26" s="53"/>
      <c r="P26" s="37"/>
      <c r="Q26" s="41"/>
      <c r="R26" s="33">
        <f t="shared" si="8"/>
        <v>0</v>
      </c>
      <c r="S26" s="101"/>
      <c r="T26" s="38">
        <f t="shared" si="9"/>
        <v>172</v>
      </c>
    </row>
    <row r="27" spans="1:20" ht="15.75" customHeight="1" x14ac:dyDescent="0.5">
      <c r="A27" s="26" t="s">
        <v>40</v>
      </c>
      <c r="B27" s="95">
        <v>114</v>
      </c>
      <c r="C27" s="28"/>
      <c r="D27" s="29"/>
      <c r="E27" s="42"/>
      <c r="F27" s="30"/>
      <c r="G27" s="42"/>
      <c r="H27" s="31">
        <f t="shared" si="5"/>
        <v>0</v>
      </c>
      <c r="I27" s="32">
        <f t="shared" si="6"/>
        <v>114</v>
      </c>
      <c r="J27" s="41">
        <v>103</v>
      </c>
      <c r="K27" s="33">
        <f t="shared" si="7"/>
        <v>-11</v>
      </c>
      <c r="L27" s="31">
        <v>-61</v>
      </c>
      <c r="M27" s="34"/>
      <c r="N27" s="35"/>
      <c r="O27" s="53"/>
      <c r="P27" s="37"/>
      <c r="Q27" s="41"/>
      <c r="R27" s="33">
        <f t="shared" si="8"/>
        <v>0</v>
      </c>
      <c r="S27" s="101"/>
      <c r="T27" s="38">
        <f t="shared" si="9"/>
        <v>114</v>
      </c>
    </row>
    <row r="28" spans="1:20" ht="15.75" customHeight="1" x14ac:dyDescent="0.5">
      <c r="A28" s="15" t="s">
        <v>41</v>
      </c>
      <c r="B28" s="62"/>
      <c r="C28" s="57"/>
      <c r="D28" s="58"/>
      <c r="E28" s="59"/>
      <c r="F28" s="59"/>
      <c r="G28" s="59"/>
      <c r="H28" s="59"/>
      <c r="I28" s="21"/>
      <c r="J28" s="49"/>
      <c r="K28" s="49"/>
      <c r="L28" s="21"/>
      <c r="M28" s="60"/>
      <c r="N28" s="61"/>
      <c r="O28" s="59"/>
      <c r="P28" s="47"/>
      <c r="Q28" s="49"/>
      <c r="R28" s="49"/>
      <c r="S28" s="49"/>
      <c r="T28" s="47"/>
    </row>
    <row r="29" spans="1:20" ht="15.75" customHeight="1" x14ac:dyDescent="0.5">
      <c r="A29" s="26" t="s">
        <v>20</v>
      </c>
      <c r="B29" s="95">
        <v>120</v>
      </c>
      <c r="C29" s="28"/>
      <c r="D29" s="29"/>
      <c r="E29" s="30"/>
      <c r="F29" s="30"/>
      <c r="G29" s="30"/>
      <c r="H29" s="31">
        <f t="shared" ref="H29:H35" si="10">SUM(E29:G29)</f>
        <v>0</v>
      </c>
      <c r="I29" s="32">
        <f t="shared" ref="I29:I35" si="11">B29-H29+C29+D29</f>
        <v>120</v>
      </c>
      <c r="J29" s="41">
        <v>120</v>
      </c>
      <c r="K29" s="33">
        <f t="shared" ref="K29:K35" si="12">J29-I29</f>
        <v>0</v>
      </c>
      <c r="L29" s="31">
        <v>0</v>
      </c>
      <c r="M29" s="34"/>
      <c r="N29" s="40"/>
      <c r="O29" s="36"/>
      <c r="P29" s="37"/>
      <c r="Q29" s="41"/>
      <c r="R29" s="33">
        <f t="shared" ref="R29:R35" si="13">Q29-P29</f>
        <v>0</v>
      </c>
      <c r="S29" s="101"/>
      <c r="T29" s="38">
        <f t="shared" ref="T29:T35" si="14">I29+P29</f>
        <v>120</v>
      </c>
    </row>
    <row r="30" spans="1:20" ht="15.75" customHeight="1" x14ac:dyDescent="0.5">
      <c r="A30" s="26" t="s">
        <v>21</v>
      </c>
      <c r="B30" s="95">
        <v>0</v>
      </c>
      <c r="C30" s="28"/>
      <c r="D30" s="29"/>
      <c r="E30" s="30"/>
      <c r="F30" s="30"/>
      <c r="G30" s="30"/>
      <c r="H30" s="31">
        <f t="shared" si="10"/>
        <v>0</v>
      </c>
      <c r="I30" s="32">
        <f t="shared" si="11"/>
        <v>0</v>
      </c>
      <c r="J30" s="33"/>
      <c r="K30" s="33">
        <f t="shared" si="12"/>
        <v>0</v>
      </c>
      <c r="L30" s="31">
        <v>0</v>
      </c>
      <c r="M30" s="34"/>
      <c r="N30" s="40"/>
      <c r="O30" s="36"/>
      <c r="P30" s="37"/>
      <c r="Q30" s="33"/>
      <c r="R30" s="33">
        <f t="shared" si="13"/>
        <v>0</v>
      </c>
      <c r="S30" s="101"/>
      <c r="T30" s="38">
        <f t="shared" si="14"/>
        <v>0</v>
      </c>
    </row>
    <row r="31" spans="1:20" ht="15.75" customHeight="1" x14ac:dyDescent="0.5">
      <c r="A31" s="26" t="s">
        <v>42</v>
      </c>
      <c r="B31" s="95">
        <v>0</v>
      </c>
      <c r="C31" s="28"/>
      <c r="D31" s="29"/>
      <c r="E31" s="30"/>
      <c r="F31" s="30"/>
      <c r="G31" s="30"/>
      <c r="H31" s="31">
        <f t="shared" si="10"/>
        <v>0</v>
      </c>
      <c r="I31" s="32">
        <f t="shared" si="11"/>
        <v>0</v>
      </c>
      <c r="J31" s="33"/>
      <c r="K31" s="33">
        <f t="shared" si="12"/>
        <v>0</v>
      </c>
      <c r="L31" s="31">
        <v>0</v>
      </c>
      <c r="M31" s="34"/>
      <c r="N31" s="40"/>
      <c r="O31" s="36"/>
      <c r="P31" s="37"/>
      <c r="Q31" s="33"/>
      <c r="R31" s="33">
        <f t="shared" si="13"/>
        <v>0</v>
      </c>
      <c r="S31" s="101"/>
      <c r="T31" s="38">
        <f t="shared" si="14"/>
        <v>0</v>
      </c>
    </row>
    <row r="32" spans="1:20" ht="15.75" customHeight="1" x14ac:dyDescent="0.5">
      <c r="A32" s="26" t="s">
        <v>22</v>
      </c>
      <c r="B32" s="95">
        <v>-5</v>
      </c>
      <c r="C32" s="28"/>
      <c r="D32" s="29"/>
      <c r="E32" s="30"/>
      <c r="F32" s="30"/>
      <c r="G32" s="30"/>
      <c r="H32" s="31">
        <f t="shared" si="10"/>
        <v>0</v>
      </c>
      <c r="I32" s="32">
        <f t="shared" si="11"/>
        <v>-5</v>
      </c>
      <c r="J32" s="33"/>
      <c r="K32" s="33">
        <f t="shared" si="12"/>
        <v>5</v>
      </c>
      <c r="L32" s="31">
        <v>0</v>
      </c>
      <c r="M32" s="34"/>
      <c r="N32" s="40"/>
      <c r="O32" s="36"/>
      <c r="P32" s="37"/>
      <c r="Q32" s="33"/>
      <c r="R32" s="33">
        <f t="shared" si="13"/>
        <v>0</v>
      </c>
      <c r="S32" s="101"/>
      <c r="T32" s="38">
        <f t="shared" si="14"/>
        <v>-5</v>
      </c>
    </row>
    <row r="33" spans="1:20" ht="15.75" customHeight="1" x14ac:dyDescent="0.5">
      <c r="A33" s="26" t="s">
        <v>23</v>
      </c>
      <c r="B33" s="27">
        <v>301</v>
      </c>
      <c r="C33" s="28"/>
      <c r="D33" s="29"/>
      <c r="E33" s="42"/>
      <c r="F33" s="30"/>
      <c r="G33" s="30"/>
      <c r="H33" s="31">
        <f t="shared" si="10"/>
        <v>0</v>
      </c>
      <c r="I33" s="32">
        <f t="shared" si="11"/>
        <v>301</v>
      </c>
      <c r="J33" s="41">
        <v>301</v>
      </c>
      <c r="K33" s="33">
        <f t="shared" si="12"/>
        <v>0</v>
      </c>
      <c r="L33" s="31">
        <v>7</v>
      </c>
      <c r="M33" s="34"/>
      <c r="N33" s="35"/>
      <c r="O33" s="53"/>
      <c r="P33" s="37"/>
      <c r="Q33" s="41"/>
      <c r="R33" s="33">
        <f t="shared" si="13"/>
        <v>0</v>
      </c>
      <c r="S33" s="101"/>
      <c r="T33" s="38">
        <f t="shared" si="14"/>
        <v>301</v>
      </c>
    </row>
    <row r="34" spans="1:20" ht="15.75" customHeight="1" x14ac:dyDescent="0.5">
      <c r="A34" s="26" t="s">
        <v>25</v>
      </c>
      <c r="B34" s="95">
        <v>143</v>
      </c>
      <c r="C34" s="28"/>
      <c r="D34" s="39"/>
      <c r="E34" s="42"/>
      <c r="F34" s="42"/>
      <c r="G34" s="30"/>
      <c r="H34" s="31">
        <f t="shared" si="10"/>
        <v>0</v>
      </c>
      <c r="I34" s="32">
        <f t="shared" si="11"/>
        <v>143</v>
      </c>
      <c r="J34" s="33">
        <f>12+156+6</f>
        <v>174</v>
      </c>
      <c r="K34" s="33">
        <f t="shared" si="12"/>
        <v>31</v>
      </c>
      <c r="L34" s="31">
        <v>110</v>
      </c>
      <c r="M34" s="64"/>
      <c r="N34" s="35"/>
      <c r="O34" s="53"/>
      <c r="P34" s="37"/>
      <c r="Q34" s="41"/>
      <c r="R34" s="33">
        <f t="shared" si="13"/>
        <v>0</v>
      </c>
      <c r="S34" s="101"/>
      <c r="T34" s="38">
        <f t="shared" si="14"/>
        <v>143</v>
      </c>
    </row>
    <row r="35" spans="1:20" ht="15.75" customHeight="1" x14ac:dyDescent="0.5">
      <c r="A35" s="26" t="s">
        <v>26</v>
      </c>
      <c r="B35" s="27">
        <v>54</v>
      </c>
      <c r="C35" s="28"/>
      <c r="D35" s="29"/>
      <c r="E35" s="42"/>
      <c r="F35" s="30"/>
      <c r="G35" s="30"/>
      <c r="H35" s="31">
        <f t="shared" si="10"/>
        <v>0</v>
      </c>
      <c r="I35" s="32">
        <f t="shared" si="11"/>
        <v>54</v>
      </c>
      <c r="J35" s="33">
        <f>48+6</f>
        <v>54</v>
      </c>
      <c r="K35" s="33">
        <f t="shared" si="12"/>
        <v>0</v>
      </c>
      <c r="L35" s="31">
        <v>-4</v>
      </c>
      <c r="M35" s="34"/>
      <c r="N35" s="40"/>
      <c r="O35" s="53"/>
      <c r="P35" s="37"/>
      <c r="Q35" s="41"/>
      <c r="R35" s="33">
        <f t="shared" si="13"/>
        <v>0</v>
      </c>
      <c r="S35" s="101"/>
      <c r="T35" s="38">
        <f t="shared" si="14"/>
        <v>54</v>
      </c>
    </row>
    <row r="36" spans="1:20" ht="15.75" customHeight="1" x14ac:dyDescent="0.5">
      <c r="A36" s="15" t="s">
        <v>43</v>
      </c>
      <c r="B36" s="62"/>
      <c r="C36" s="57"/>
      <c r="D36" s="58"/>
      <c r="E36" s="59"/>
      <c r="F36" s="59"/>
      <c r="G36" s="59"/>
      <c r="H36" s="59"/>
      <c r="I36" s="21"/>
      <c r="J36" s="49"/>
      <c r="K36" s="49"/>
      <c r="L36" s="21"/>
      <c r="M36" s="60"/>
      <c r="N36" s="61"/>
      <c r="O36" s="59"/>
      <c r="P36" s="47"/>
      <c r="Q36" s="49"/>
      <c r="R36" s="49"/>
      <c r="S36" s="49"/>
      <c r="T36" s="47"/>
    </row>
    <row r="37" spans="1:20" ht="15.75" customHeight="1" x14ac:dyDescent="0.5">
      <c r="A37" s="26" t="s">
        <v>29</v>
      </c>
      <c r="B37" s="95">
        <v>260</v>
      </c>
      <c r="C37" s="63"/>
      <c r="D37" s="39"/>
      <c r="E37" s="42"/>
      <c r="F37" s="42">
        <v>225</v>
      </c>
      <c r="G37" s="42"/>
      <c r="H37" s="31">
        <f t="shared" ref="H37:H51" si="15">SUM(E37:G37)</f>
        <v>225</v>
      </c>
      <c r="I37" s="32">
        <f t="shared" ref="I37:I51" si="16">B37-H37+C37+D37</f>
        <v>35</v>
      </c>
      <c r="J37" s="33">
        <f>103+72+100+96+23</f>
        <v>394</v>
      </c>
      <c r="K37" s="33">
        <f t="shared" ref="K37:K51" si="17">J37-I37</f>
        <v>359</v>
      </c>
      <c r="L37" s="31">
        <v>138</v>
      </c>
      <c r="M37" s="64"/>
      <c r="N37" s="35"/>
      <c r="O37" s="53"/>
      <c r="P37" s="37"/>
      <c r="Q37" s="41"/>
      <c r="R37" s="33">
        <f t="shared" ref="R37:R51" si="18">Q37-P37</f>
        <v>0</v>
      </c>
      <c r="S37" s="101"/>
      <c r="T37" s="38">
        <f t="shared" ref="T37:T51" si="19">I37+P37</f>
        <v>35</v>
      </c>
    </row>
    <row r="38" spans="1:20" ht="15.75" customHeight="1" x14ac:dyDescent="0.5">
      <c r="A38" s="26" t="s">
        <v>44</v>
      </c>
      <c r="B38" s="27">
        <v>170</v>
      </c>
      <c r="C38" s="55"/>
      <c r="D38" s="29"/>
      <c r="E38" s="42"/>
      <c r="F38" s="42">
        <v>40</v>
      </c>
      <c r="G38" s="30"/>
      <c r="H38" s="31">
        <f t="shared" si="15"/>
        <v>40</v>
      </c>
      <c r="I38" s="32">
        <f t="shared" si="16"/>
        <v>130</v>
      </c>
      <c r="J38" s="33">
        <f>24+14+72</f>
        <v>110</v>
      </c>
      <c r="K38" s="33">
        <f t="shared" si="17"/>
        <v>-20</v>
      </c>
      <c r="L38" s="31">
        <v>91</v>
      </c>
      <c r="M38" s="64"/>
      <c r="N38" s="40"/>
      <c r="O38" s="53"/>
      <c r="P38" s="37"/>
      <c r="Q38" s="41"/>
      <c r="R38" s="33">
        <f t="shared" si="18"/>
        <v>0</v>
      </c>
      <c r="S38" s="101"/>
      <c r="T38" s="38">
        <f t="shared" si="19"/>
        <v>130</v>
      </c>
    </row>
    <row r="39" spans="1:20" ht="15.75" customHeight="1" x14ac:dyDescent="0.5">
      <c r="A39" s="26" t="s">
        <v>30</v>
      </c>
      <c r="B39" s="95">
        <v>1379</v>
      </c>
      <c r="C39" s="55"/>
      <c r="D39" s="29"/>
      <c r="E39" s="42"/>
      <c r="F39" s="42">
        <v>30</v>
      </c>
      <c r="G39" s="42"/>
      <c r="H39" s="31">
        <f t="shared" si="15"/>
        <v>30</v>
      </c>
      <c r="I39" s="32">
        <f t="shared" si="16"/>
        <v>1349</v>
      </c>
      <c r="J39" s="33">
        <f>480+360+12+3+312+96+11+10+120+17+188</f>
        <v>1609</v>
      </c>
      <c r="K39" s="33">
        <f t="shared" si="17"/>
        <v>260</v>
      </c>
      <c r="L39" s="31">
        <v>82</v>
      </c>
      <c r="M39" s="64"/>
      <c r="N39" s="35"/>
      <c r="O39" s="53"/>
      <c r="P39" s="37"/>
      <c r="Q39" s="41"/>
      <c r="R39" s="33">
        <f t="shared" si="18"/>
        <v>0</v>
      </c>
      <c r="S39" s="101"/>
      <c r="T39" s="38">
        <f t="shared" si="19"/>
        <v>1349</v>
      </c>
    </row>
    <row r="40" spans="1:20" ht="15.75" customHeight="1" x14ac:dyDescent="0.5">
      <c r="A40" s="26" t="s">
        <v>31</v>
      </c>
      <c r="B40" s="95">
        <v>213</v>
      </c>
      <c r="C40" s="63"/>
      <c r="D40" s="29"/>
      <c r="E40" s="30"/>
      <c r="F40" s="42"/>
      <c r="G40" s="30"/>
      <c r="H40" s="31">
        <f t="shared" si="15"/>
        <v>0</v>
      </c>
      <c r="I40" s="32">
        <f t="shared" si="16"/>
        <v>213</v>
      </c>
      <c r="J40" s="33">
        <f>120+72+21</f>
        <v>213</v>
      </c>
      <c r="K40" s="33">
        <f t="shared" si="17"/>
        <v>0</v>
      </c>
      <c r="L40" s="31">
        <v>42</v>
      </c>
      <c r="M40" s="34"/>
      <c r="N40" s="35"/>
      <c r="O40" s="53"/>
      <c r="P40" s="37"/>
      <c r="Q40" s="41"/>
      <c r="R40" s="33">
        <f t="shared" si="18"/>
        <v>0</v>
      </c>
      <c r="S40" s="101"/>
      <c r="T40" s="38">
        <f t="shared" si="19"/>
        <v>213</v>
      </c>
    </row>
    <row r="41" spans="1:20" ht="15.75" customHeight="1" x14ac:dyDescent="0.5">
      <c r="A41" s="26" t="s">
        <v>32</v>
      </c>
      <c r="B41" s="95">
        <v>96</v>
      </c>
      <c r="C41" s="55"/>
      <c r="D41" s="29"/>
      <c r="E41" s="30"/>
      <c r="F41" s="30"/>
      <c r="G41" s="30"/>
      <c r="H41" s="31">
        <f t="shared" si="15"/>
        <v>0</v>
      </c>
      <c r="I41" s="32">
        <f t="shared" si="16"/>
        <v>96</v>
      </c>
      <c r="J41" s="33">
        <f>104</f>
        <v>104</v>
      </c>
      <c r="K41" s="33">
        <f t="shared" si="17"/>
        <v>8</v>
      </c>
      <c r="L41" s="31">
        <v>63</v>
      </c>
      <c r="M41" s="34"/>
      <c r="N41" s="40"/>
      <c r="O41" s="53"/>
      <c r="P41" s="37"/>
      <c r="Q41" s="41"/>
      <c r="R41" s="33">
        <f t="shared" si="18"/>
        <v>0</v>
      </c>
      <c r="S41" s="101"/>
      <c r="T41" s="38">
        <f t="shared" si="19"/>
        <v>96</v>
      </c>
    </row>
    <row r="42" spans="1:20" ht="15.75" customHeight="1" x14ac:dyDescent="0.5">
      <c r="A42" s="26" t="s">
        <v>33</v>
      </c>
      <c r="B42" s="95">
        <v>337</v>
      </c>
      <c r="C42" s="55"/>
      <c r="D42" s="29"/>
      <c r="E42" s="42"/>
      <c r="F42" s="42">
        <v>2</v>
      </c>
      <c r="G42" s="42"/>
      <c r="H42" s="31">
        <f t="shared" si="15"/>
        <v>2</v>
      </c>
      <c r="I42" s="32">
        <f t="shared" si="16"/>
        <v>335</v>
      </c>
      <c r="J42" s="33">
        <f>120+7+120+104</f>
        <v>351</v>
      </c>
      <c r="K42" s="33">
        <f t="shared" si="17"/>
        <v>16</v>
      </c>
      <c r="L42" s="31">
        <v>67</v>
      </c>
      <c r="M42" s="34"/>
      <c r="N42" s="35"/>
      <c r="O42" s="53"/>
      <c r="P42" s="37"/>
      <c r="Q42" s="33"/>
      <c r="R42" s="33">
        <f t="shared" si="18"/>
        <v>0</v>
      </c>
      <c r="S42" s="101"/>
      <c r="T42" s="38">
        <f t="shared" si="19"/>
        <v>335</v>
      </c>
    </row>
    <row r="43" spans="1:20" ht="15.75" customHeight="1" x14ac:dyDescent="0.5">
      <c r="A43" s="26" t="s">
        <v>34</v>
      </c>
      <c r="B43" s="95">
        <v>354</v>
      </c>
      <c r="C43" s="55"/>
      <c r="D43" s="29"/>
      <c r="E43" s="42"/>
      <c r="F43" s="42"/>
      <c r="G43" s="42"/>
      <c r="H43" s="31">
        <f t="shared" si="15"/>
        <v>0</v>
      </c>
      <c r="I43" s="32">
        <f t="shared" si="16"/>
        <v>354</v>
      </c>
      <c r="J43" s="33">
        <f>50+104</f>
        <v>154</v>
      </c>
      <c r="K43" s="33">
        <f t="shared" si="17"/>
        <v>-200</v>
      </c>
      <c r="L43" s="31">
        <v>198</v>
      </c>
      <c r="M43" s="64"/>
      <c r="N43" s="35"/>
      <c r="O43" s="53"/>
      <c r="P43" s="37"/>
      <c r="Q43" s="33"/>
      <c r="R43" s="33">
        <f t="shared" si="18"/>
        <v>0</v>
      </c>
      <c r="S43" s="101"/>
      <c r="T43" s="38">
        <f t="shared" si="19"/>
        <v>354</v>
      </c>
    </row>
    <row r="44" spans="1:20" ht="15.75" customHeight="1" x14ac:dyDescent="0.5">
      <c r="A44" s="26" t="s">
        <v>23</v>
      </c>
      <c r="B44" s="95">
        <v>195</v>
      </c>
      <c r="C44" s="55"/>
      <c r="D44" s="29"/>
      <c r="E44" s="30"/>
      <c r="F44" s="30"/>
      <c r="G44" s="30"/>
      <c r="H44" s="31">
        <f t="shared" si="15"/>
        <v>0</v>
      </c>
      <c r="I44" s="32">
        <f t="shared" si="16"/>
        <v>195</v>
      </c>
      <c r="J44" s="33">
        <f>120+72+5</f>
        <v>197</v>
      </c>
      <c r="K44" s="33">
        <f t="shared" si="17"/>
        <v>2</v>
      </c>
      <c r="L44" s="31">
        <v>70</v>
      </c>
      <c r="M44" s="64"/>
      <c r="N44" s="35"/>
      <c r="O44" s="53"/>
      <c r="P44" s="37"/>
      <c r="Q44" s="41"/>
      <c r="R44" s="33">
        <f t="shared" si="18"/>
        <v>0</v>
      </c>
      <c r="S44" s="101"/>
      <c r="T44" s="38">
        <f t="shared" si="19"/>
        <v>195</v>
      </c>
    </row>
    <row r="45" spans="1:20" ht="15.75" customHeight="1" x14ac:dyDescent="0.5">
      <c r="A45" s="26" t="s">
        <v>35</v>
      </c>
      <c r="B45" s="95">
        <v>1097</v>
      </c>
      <c r="C45" s="55"/>
      <c r="D45" s="39"/>
      <c r="E45" s="42"/>
      <c r="F45" s="42">
        <v>200</v>
      </c>
      <c r="G45" s="42"/>
      <c r="H45" s="31">
        <f t="shared" si="15"/>
        <v>200</v>
      </c>
      <c r="I45" s="32">
        <f t="shared" si="16"/>
        <v>897</v>
      </c>
      <c r="J45" s="33">
        <f>132+80+496+300</f>
        <v>1008</v>
      </c>
      <c r="K45" s="33">
        <f t="shared" si="17"/>
        <v>111</v>
      </c>
      <c r="L45" s="31">
        <v>314</v>
      </c>
      <c r="M45" s="64"/>
      <c r="N45" s="35"/>
      <c r="O45" s="53"/>
      <c r="P45" s="37"/>
      <c r="Q45" s="33"/>
      <c r="R45" s="33">
        <f t="shared" si="18"/>
        <v>0</v>
      </c>
      <c r="S45" s="101"/>
      <c r="T45" s="38">
        <f t="shared" si="19"/>
        <v>897</v>
      </c>
    </row>
    <row r="46" spans="1:20" ht="15.75" customHeight="1" x14ac:dyDescent="0.5">
      <c r="A46" s="26" t="s">
        <v>36</v>
      </c>
      <c r="B46" s="95">
        <v>146</v>
      </c>
      <c r="C46" s="55"/>
      <c r="D46" s="29"/>
      <c r="E46" s="30"/>
      <c r="F46" s="42"/>
      <c r="G46" s="42"/>
      <c r="H46" s="31">
        <f t="shared" si="15"/>
        <v>0</v>
      </c>
      <c r="I46" s="32">
        <f t="shared" si="16"/>
        <v>146</v>
      </c>
      <c r="J46" s="33">
        <f>96+48+2</f>
        <v>146</v>
      </c>
      <c r="K46" s="33">
        <f t="shared" si="17"/>
        <v>0</v>
      </c>
      <c r="L46" s="31">
        <v>63</v>
      </c>
      <c r="M46" s="34"/>
      <c r="N46" s="40"/>
      <c r="O46" s="53"/>
      <c r="P46" s="37"/>
      <c r="Q46" s="41"/>
      <c r="R46" s="33">
        <f t="shared" si="18"/>
        <v>0</v>
      </c>
      <c r="S46" s="101"/>
      <c r="T46" s="38">
        <f t="shared" si="19"/>
        <v>146</v>
      </c>
    </row>
    <row r="47" spans="1:20" ht="15.75" customHeight="1" x14ac:dyDescent="0.5">
      <c r="A47" s="26" t="s">
        <v>24</v>
      </c>
      <c r="B47" s="95">
        <v>424</v>
      </c>
      <c r="C47" s="55"/>
      <c r="D47" s="39"/>
      <c r="E47" s="42"/>
      <c r="F47" s="42">
        <v>35</v>
      </c>
      <c r="G47" s="42"/>
      <c r="H47" s="31">
        <f t="shared" si="15"/>
        <v>35</v>
      </c>
      <c r="I47" s="32">
        <f t="shared" si="16"/>
        <v>389</v>
      </c>
      <c r="J47" s="33">
        <f>96+16+120+96+20+28</f>
        <v>376</v>
      </c>
      <c r="K47" s="33">
        <f t="shared" si="17"/>
        <v>-13</v>
      </c>
      <c r="L47" s="31">
        <v>1209</v>
      </c>
      <c r="M47" s="64"/>
      <c r="N47" s="35"/>
      <c r="O47" s="53"/>
      <c r="P47" s="37"/>
      <c r="Q47" s="33"/>
      <c r="R47" s="33">
        <f t="shared" si="18"/>
        <v>0</v>
      </c>
      <c r="S47" s="101"/>
      <c r="T47" s="38">
        <f t="shared" si="19"/>
        <v>389</v>
      </c>
    </row>
    <row r="48" spans="1:20" ht="15.75" customHeight="1" x14ac:dyDescent="0.5">
      <c r="A48" s="26" t="s">
        <v>37</v>
      </c>
      <c r="B48" s="95">
        <v>430</v>
      </c>
      <c r="C48" s="55"/>
      <c r="D48" s="29"/>
      <c r="E48" s="42"/>
      <c r="F48" s="42"/>
      <c r="G48" s="30"/>
      <c r="H48" s="31">
        <f t="shared" si="15"/>
        <v>0</v>
      </c>
      <c r="I48" s="32">
        <f t="shared" si="16"/>
        <v>430</v>
      </c>
      <c r="J48" s="41">
        <v>117</v>
      </c>
      <c r="K48" s="33">
        <f t="shared" si="17"/>
        <v>-313</v>
      </c>
      <c r="L48" s="31">
        <v>-26</v>
      </c>
      <c r="M48" s="64"/>
      <c r="N48" s="35"/>
      <c r="O48" s="53"/>
      <c r="P48" s="37"/>
      <c r="Q48" s="33"/>
      <c r="R48" s="33">
        <f t="shared" si="18"/>
        <v>0</v>
      </c>
      <c r="S48" s="101"/>
      <c r="T48" s="38">
        <f t="shared" si="19"/>
        <v>430</v>
      </c>
    </row>
    <row r="49" spans="1:20" ht="15.75" customHeight="1" x14ac:dyDescent="0.5">
      <c r="A49" s="26" t="s">
        <v>38</v>
      </c>
      <c r="B49" s="95">
        <v>45</v>
      </c>
      <c r="C49" s="63"/>
      <c r="D49" s="29"/>
      <c r="E49" s="42"/>
      <c r="F49" s="30"/>
      <c r="G49" s="30"/>
      <c r="H49" s="31">
        <f t="shared" si="15"/>
        <v>0</v>
      </c>
      <c r="I49" s="32">
        <f t="shared" si="16"/>
        <v>45</v>
      </c>
      <c r="J49" s="41">
        <f>47</f>
        <v>47</v>
      </c>
      <c r="K49" s="33">
        <f t="shared" si="17"/>
        <v>2</v>
      </c>
      <c r="L49" s="31">
        <v>28</v>
      </c>
      <c r="M49" s="34"/>
      <c r="N49" s="35"/>
      <c r="O49" s="53"/>
      <c r="P49" s="37"/>
      <c r="Q49" s="41"/>
      <c r="R49" s="33">
        <f t="shared" si="18"/>
        <v>0</v>
      </c>
      <c r="S49" s="101"/>
      <c r="T49" s="38">
        <f t="shared" si="19"/>
        <v>45</v>
      </c>
    </row>
    <row r="50" spans="1:20" ht="15.75" customHeight="1" x14ac:dyDescent="0.5">
      <c r="A50" s="26" t="s">
        <v>39</v>
      </c>
      <c r="B50" s="95">
        <v>359</v>
      </c>
      <c r="C50" s="54"/>
      <c r="D50" s="29"/>
      <c r="E50" s="42"/>
      <c r="F50" s="30"/>
      <c r="G50" s="30"/>
      <c r="H50" s="31">
        <f t="shared" si="15"/>
        <v>0</v>
      </c>
      <c r="I50" s="32">
        <f t="shared" si="16"/>
        <v>359</v>
      </c>
      <c r="J50" s="33">
        <f>36+48+280</f>
        <v>364</v>
      </c>
      <c r="K50" s="33">
        <f t="shared" si="17"/>
        <v>5</v>
      </c>
      <c r="L50" s="31">
        <v>54</v>
      </c>
      <c r="M50" s="34"/>
      <c r="N50" s="35"/>
      <c r="O50" s="53"/>
      <c r="P50" s="37"/>
      <c r="Q50" s="33"/>
      <c r="R50" s="33">
        <f t="shared" si="18"/>
        <v>0</v>
      </c>
      <c r="S50" s="101"/>
      <c r="T50" s="38">
        <f t="shared" si="19"/>
        <v>359</v>
      </c>
    </row>
    <row r="51" spans="1:20" ht="15.75" customHeight="1" x14ac:dyDescent="0.5">
      <c r="A51" s="26" t="s">
        <v>40</v>
      </c>
      <c r="B51" s="95">
        <v>255</v>
      </c>
      <c r="C51" s="28"/>
      <c r="D51" s="29"/>
      <c r="E51" s="30"/>
      <c r="F51" s="30"/>
      <c r="G51" s="30"/>
      <c r="H51" s="31">
        <f t="shared" si="15"/>
        <v>0</v>
      </c>
      <c r="I51" s="32">
        <f t="shared" si="16"/>
        <v>255</v>
      </c>
      <c r="J51" s="41">
        <v>103</v>
      </c>
      <c r="K51" s="33">
        <f t="shared" si="17"/>
        <v>-152</v>
      </c>
      <c r="L51" s="31">
        <v>31</v>
      </c>
      <c r="M51" s="34"/>
      <c r="N51" s="40"/>
      <c r="O51" s="53"/>
      <c r="P51" s="37"/>
      <c r="Q51" s="41"/>
      <c r="R51" s="33">
        <f t="shared" si="18"/>
        <v>0</v>
      </c>
      <c r="S51" s="101"/>
      <c r="T51" s="38">
        <f t="shared" si="19"/>
        <v>255</v>
      </c>
    </row>
    <row r="52" spans="1:20" ht="15.75" customHeight="1" x14ac:dyDescent="0.5">
      <c r="A52" s="65" t="s">
        <v>45</v>
      </c>
      <c r="B52" s="66"/>
      <c r="C52" s="67"/>
      <c r="D52" s="58"/>
      <c r="E52" s="59"/>
      <c r="F52" s="59"/>
      <c r="G52" s="59"/>
      <c r="H52" s="59"/>
      <c r="I52" s="21"/>
      <c r="J52" s="49"/>
      <c r="K52" s="49"/>
      <c r="L52" s="21"/>
      <c r="M52" s="60"/>
      <c r="N52" s="61"/>
      <c r="O52" s="59"/>
      <c r="P52" s="21"/>
      <c r="Q52" s="49"/>
      <c r="R52" s="49"/>
      <c r="S52" s="49"/>
      <c r="T52" s="21"/>
    </row>
    <row r="53" spans="1:20" ht="15.75" customHeight="1" x14ac:dyDescent="0.5">
      <c r="A53" s="26" t="s">
        <v>20</v>
      </c>
      <c r="B53" s="95">
        <v>-40</v>
      </c>
      <c r="C53" s="28"/>
      <c r="D53" s="29"/>
      <c r="E53" s="30"/>
      <c r="F53" s="30"/>
      <c r="G53" s="30"/>
      <c r="H53" s="31">
        <f t="shared" ref="H53:H57" si="20">SUM(E53:G53)</f>
        <v>0</v>
      </c>
      <c r="I53" s="32">
        <f t="shared" ref="I53:I57" si="21">B53-H53+C53+D53</f>
        <v>-40</v>
      </c>
      <c r="J53" s="41">
        <v>0</v>
      </c>
      <c r="K53" s="33">
        <f t="shared" ref="K53:K57" si="22">J53-I53</f>
        <v>40</v>
      </c>
      <c r="L53" s="31">
        <v>89</v>
      </c>
      <c r="M53" s="34"/>
      <c r="N53" s="35"/>
      <c r="O53" s="53"/>
      <c r="P53" s="37"/>
      <c r="Q53" s="41"/>
      <c r="R53" s="33">
        <f t="shared" ref="R53:R57" si="23">Q53-P53</f>
        <v>0</v>
      </c>
      <c r="S53" s="101"/>
      <c r="T53" s="38">
        <f t="shared" ref="T53:T65" si="24">I53+P53</f>
        <v>-40</v>
      </c>
    </row>
    <row r="54" spans="1:20" ht="15.75" customHeight="1" x14ac:dyDescent="0.5">
      <c r="A54" s="26" t="s">
        <v>21</v>
      </c>
      <c r="B54" s="95">
        <v>0</v>
      </c>
      <c r="C54" s="28"/>
      <c r="D54" s="29"/>
      <c r="E54" s="30"/>
      <c r="F54" s="30"/>
      <c r="G54" s="30"/>
      <c r="H54" s="31">
        <f t="shared" si="20"/>
        <v>0</v>
      </c>
      <c r="I54" s="32">
        <f t="shared" si="21"/>
        <v>0</v>
      </c>
      <c r="J54" s="41">
        <v>0</v>
      </c>
      <c r="K54" s="33">
        <f t="shared" si="22"/>
        <v>0</v>
      </c>
      <c r="L54" s="31">
        <v>64</v>
      </c>
      <c r="M54" s="64"/>
      <c r="N54" s="40"/>
      <c r="O54" s="53"/>
      <c r="P54" s="37"/>
      <c r="Q54" s="41"/>
      <c r="R54" s="33">
        <f t="shared" si="23"/>
        <v>0</v>
      </c>
      <c r="S54" s="101"/>
      <c r="T54" s="38">
        <f t="shared" si="24"/>
        <v>0</v>
      </c>
    </row>
    <row r="55" spans="1:20" ht="15.75" customHeight="1" x14ac:dyDescent="0.5">
      <c r="A55" s="26" t="s">
        <v>22</v>
      </c>
      <c r="B55" s="27">
        <v>0</v>
      </c>
      <c r="C55" s="28"/>
      <c r="D55" s="29"/>
      <c r="E55" s="30"/>
      <c r="F55" s="30"/>
      <c r="G55" s="30"/>
      <c r="H55" s="31">
        <f t="shared" si="20"/>
        <v>0</v>
      </c>
      <c r="I55" s="32">
        <f t="shared" si="21"/>
        <v>0</v>
      </c>
      <c r="J55" s="41">
        <v>0</v>
      </c>
      <c r="K55" s="33">
        <f t="shared" si="22"/>
        <v>0</v>
      </c>
      <c r="L55" s="31">
        <v>107</v>
      </c>
      <c r="M55" s="64"/>
      <c r="N55" s="40"/>
      <c r="O55" s="53"/>
      <c r="P55" s="37"/>
      <c r="Q55" s="33"/>
      <c r="R55" s="33">
        <f t="shared" si="23"/>
        <v>0</v>
      </c>
      <c r="S55" s="101"/>
      <c r="T55" s="38">
        <f t="shared" si="24"/>
        <v>0</v>
      </c>
    </row>
    <row r="56" spans="1:20" ht="15.75" customHeight="1" x14ac:dyDescent="0.5">
      <c r="A56" s="26" t="s">
        <v>23</v>
      </c>
      <c r="B56" s="95">
        <v>0</v>
      </c>
      <c r="C56" s="28"/>
      <c r="D56" s="29"/>
      <c r="E56" s="30"/>
      <c r="F56" s="30"/>
      <c r="G56" s="30"/>
      <c r="H56" s="31">
        <f t="shared" si="20"/>
        <v>0</v>
      </c>
      <c r="I56" s="32">
        <f t="shared" si="21"/>
        <v>0</v>
      </c>
      <c r="J56" s="41">
        <v>0</v>
      </c>
      <c r="K56" s="33">
        <f t="shared" si="22"/>
        <v>0</v>
      </c>
      <c r="L56" s="31">
        <v>100</v>
      </c>
      <c r="M56" s="64"/>
      <c r="N56" s="35"/>
      <c r="O56" s="53"/>
      <c r="P56" s="37"/>
      <c r="Q56" s="33"/>
      <c r="R56" s="33">
        <f t="shared" si="23"/>
        <v>0</v>
      </c>
      <c r="S56" s="101"/>
      <c r="T56" s="38">
        <f t="shared" si="24"/>
        <v>0</v>
      </c>
    </row>
    <row r="57" spans="1:20" ht="18" customHeight="1" x14ac:dyDescent="0.5">
      <c r="A57" s="26" t="s">
        <v>25</v>
      </c>
      <c r="B57" s="27">
        <v>0</v>
      </c>
      <c r="C57" s="54"/>
      <c r="D57" s="39"/>
      <c r="E57" s="42"/>
      <c r="F57" s="42"/>
      <c r="G57" s="30"/>
      <c r="H57" s="31">
        <f t="shared" si="20"/>
        <v>0</v>
      </c>
      <c r="I57" s="32">
        <f t="shared" si="21"/>
        <v>0</v>
      </c>
      <c r="J57" s="41">
        <v>0</v>
      </c>
      <c r="K57" s="33">
        <f t="shared" si="22"/>
        <v>0</v>
      </c>
      <c r="L57" s="31">
        <v>85</v>
      </c>
      <c r="M57" s="64"/>
      <c r="N57" s="35"/>
      <c r="O57" s="53"/>
      <c r="P57" s="37"/>
      <c r="Q57" s="41"/>
      <c r="R57" s="33">
        <f t="shared" si="23"/>
        <v>0</v>
      </c>
      <c r="S57" s="101"/>
      <c r="T57" s="38">
        <f t="shared" si="24"/>
        <v>0</v>
      </c>
    </row>
    <row r="58" spans="1:20" ht="15.75" customHeight="1" x14ac:dyDescent="0.5">
      <c r="A58" s="15" t="s">
        <v>46</v>
      </c>
      <c r="B58" s="62"/>
      <c r="C58" s="57"/>
      <c r="D58" s="58"/>
      <c r="E58" s="59"/>
      <c r="F58" s="59"/>
      <c r="G58" s="59"/>
      <c r="H58" s="59"/>
      <c r="I58" s="21"/>
      <c r="J58" s="49"/>
      <c r="K58" s="49"/>
      <c r="L58" s="21"/>
      <c r="M58" s="60"/>
      <c r="N58" s="61"/>
      <c r="O58" s="59"/>
      <c r="P58" s="21"/>
      <c r="Q58" s="49"/>
      <c r="R58" s="49"/>
      <c r="S58" s="102"/>
      <c r="T58" s="38">
        <f t="shared" si="24"/>
        <v>0</v>
      </c>
    </row>
    <row r="59" spans="1:20" ht="15.75" customHeight="1" x14ac:dyDescent="0.5">
      <c r="A59" s="26" t="s">
        <v>47</v>
      </c>
      <c r="B59" s="27">
        <v>117</v>
      </c>
      <c r="C59" s="54"/>
      <c r="D59" s="29"/>
      <c r="E59" s="30"/>
      <c r="F59" s="30"/>
      <c r="G59" s="42"/>
      <c r="H59" s="31">
        <f t="shared" ref="H59:H66" si="25">SUM(E59:G59)</f>
        <v>0</v>
      </c>
      <c r="I59" s="32">
        <f t="shared" ref="I59:I66" si="26">B59-H59+C59+D59</f>
        <v>117</v>
      </c>
      <c r="J59" s="33">
        <f>108+11</f>
        <v>119</v>
      </c>
      <c r="K59" s="33">
        <f t="shared" ref="K59:K66" si="27">J59-I59</f>
        <v>2</v>
      </c>
      <c r="L59" s="31">
        <v>4</v>
      </c>
      <c r="M59" s="34"/>
      <c r="N59" s="40"/>
      <c r="O59" s="53"/>
      <c r="P59" s="37"/>
      <c r="Q59" s="41"/>
      <c r="R59" s="33">
        <f t="shared" ref="R59:R66" si="28">Q59-P59</f>
        <v>0</v>
      </c>
      <c r="S59" s="101"/>
      <c r="T59" s="38">
        <f t="shared" si="24"/>
        <v>117</v>
      </c>
    </row>
    <row r="60" spans="1:20" ht="15.75" customHeight="1" x14ac:dyDescent="0.5">
      <c r="A60" s="70" t="s">
        <v>48</v>
      </c>
      <c r="B60" s="27">
        <v>0</v>
      </c>
      <c r="C60" s="28"/>
      <c r="D60" s="29"/>
      <c r="E60" s="30"/>
      <c r="F60" s="30"/>
      <c r="G60" s="30"/>
      <c r="H60" s="31">
        <f t="shared" si="25"/>
        <v>0</v>
      </c>
      <c r="I60" s="32">
        <f t="shared" si="26"/>
        <v>0</v>
      </c>
      <c r="J60" s="33"/>
      <c r="K60" s="33">
        <f t="shared" si="27"/>
        <v>0</v>
      </c>
      <c r="L60" s="31">
        <v>0</v>
      </c>
      <c r="M60" s="34"/>
      <c r="N60" s="40"/>
      <c r="O60" s="36"/>
      <c r="P60" s="37"/>
      <c r="R60" s="33">
        <f t="shared" si="28"/>
        <v>0</v>
      </c>
      <c r="S60" s="101"/>
      <c r="T60" s="38">
        <f t="shared" si="24"/>
        <v>0</v>
      </c>
    </row>
    <row r="61" spans="1:20" ht="15.75" customHeight="1" x14ac:dyDescent="0.5">
      <c r="A61" s="26" t="s">
        <v>49</v>
      </c>
      <c r="B61" s="27">
        <v>26</v>
      </c>
      <c r="C61" s="28"/>
      <c r="D61" s="29"/>
      <c r="E61" s="42"/>
      <c r="F61" s="30"/>
      <c r="G61" s="30"/>
      <c r="H61" s="31">
        <f t="shared" si="25"/>
        <v>0</v>
      </c>
      <c r="I61" s="32">
        <f t="shared" si="26"/>
        <v>26</v>
      </c>
      <c r="J61" s="33"/>
      <c r="K61" s="33">
        <f t="shared" si="27"/>
        <v>-26</v>
      </c>
      <c r="L61" s="31">
        <v>3</v>
      </c>
      <c r="M61" s="34"/>
      <c r="N61" s="40"/>
      <c r="O61" s="53"/>
      <c r="P61" s="37"/>
      <c r="Q61" s="41"/>
      <c r="R61" s="33">
        <f t="shared" si="28"/>
        <v>0</v>
      </c>
      <c r="S61" s="101"/>
      <c r="T61" s="38">
        <f t="shared" si="24"/>
        <v>26</v>
      </c>
    </row>
    <row r="62" spans="1:20" ht="15.75" customHeight="1" x14ac:dyDescent="0.5">
      <c r="A62" s="26" t="s">
        <v>50</v>
      </c>
      <c r="B62" s="95">
        <v>0</v>
      </c>
      <c r="C62" s="28"/>
      <c r="D62" s="29"/>
      <c r="E62" s="30"/>
      <c r="F62" s="30"/>
      <c r="G62" s="30"/>
      <c r="H62" s="31">
        <f t="shared" si="25"/>
        <v>0</v>
      </c>
      <c r="I62" s="32">
        <f t="shared" si="26"/>
        <v>0</v>
      </c>
      <c r="J62" s="33"/>
      <c r="K62" s="33">
        <f t="shared" si="27"/>
        <v>0</v>
      </c>
      <c r="L62" s="31">
        <v>59</v>
      </c>
      <c r="M62" s="64"/>
      <c r="N62" s="40"/>
      <c r="O62" s="53"/>
      <c r="P62" s="37"/>
      <c r="Q62" s="33"/>
      <c r="R62" s="33">
        <f t="shared" si="28"/>
        <v>0</v>
      </c>
      <c r="S62" s="101"/>
      <c r="T62" s="38">
        <f t="shared" si="24"/>
        <v>0</v>
      </c>
    </row>
    <row r="63" spans="1:20" ht="15.75" customHeight="1" x14ac:dyDescent="0.5">
      <c r="A63" s="26" t="s">
        <v>51</v>
      </c>
      <c r="B63" s="27">
        <v>13</v>
      </c>
      <c r="C63" s="28"/>
      <c r="D63" s="29"/>
      <c r="E63" s="30"/>
      <c r="F63" s="30"/>
      <c r="G63" s="30"/>
      <c r="H63" s="31">
        <f t="shared" si="25"/>
        <v>0</v>
      </c>
      <c r="I63" s="32">
        <f t="shared" si="26"/>
        <v>13</v>
      </c>
      <c r="J63" s="41">
        <v>13</v>
      </c>
      <c r="K63" s="33">
        <f t="shared" si="27"/>
        <v>0</v>
      </c>
      <c r="L63" s="31">
        <v>10</v>
      </c>
      <c r="M63" s="34"/>
      <c r="N63" s="40"/>
      <c r="O63" s="53"/>
      <c r="P63" s="37"/>
      <c r="Q63" s="41"/>
      <c r="R63" s="33">
        <f t="shared" si="28"/>
        <v>0</v>
      </c>
      <c r="S63" s="101"/>
      <c r="T63" s="38">
        <f t="shared" si="24"/>
        <v>13</v>
      </c>
    </row>
    <row r="64" spans="1:20" ht="15.75" customHeight="1" x14ac:dyDescent="0.5">
      <c r="A64" s="26" t="s">
        <v>52</v>
      </c>
      <c r="B64" s="27">
        <v>21</v>
      </c>
      <c r="C64" s="28"/>
      <c r="D64" s="29"/>
      <c r="E64" s="30"/>
      <c r="F64" s="30"/>
      <c r="G64" s="30"/>
      <c r="H64" s="31">
        <f t="shared" si="25"/>
        <v>0</v>
      </c>
      <c r="I64" s="32">
        <f t="shared" si="26"/>
        <v>21</v>
      </c>
      <c r="J64" s="41">
        <v>20</v>
      </c>
      <c r="K64" s="33">
        <f t="shared" si="27"/>
        <v>-1</v>
      </c>
      <c r="L64" s="31">
        <v>15</v>
      </c>
      <c r="M64" s="34"/>
      <c r="N64" s="40"/>
      <c r="O64" s="53"/>
      <c r="P64" s="37"/>
      <c r="Q64" s="41"/>
      <c r="R64" s="33">
        <f t="shared" si="28"/>
        <v>0</v>
      </c>
      <c r="S64" s="101"/>
      <c r="T64" s="38">
        <f t="shared" si="24"/>
        <v>21</v>
      </c>
    </row>
    <row r="65" spans="1:20" ht="15.75" customHeight="1" x14ac:dyDescent="0.5">
      <c r="A65" s="72" t="s">
        <v>53</v>
      </c>
      <c r="B65" s="95">
        <v>0</v>
      </c>
      <c r="C65" s="73"/>
      <c r="D65" s="74"/>
      <c r="E65" s="30"/>
      <c r="F65" s="30"/>
      <c r="G65" s="30"/>
      <c r="H65" s="31">
        <f t="shared" si="25"/>
        <v>0</v>
      </c>
      <c r="I65" s="32">
        <f t="shared" si="26"/>
        <v>0</v>
      </c>
      <c r="J65" s="41">
        <v>8</v>
      </c>
      <c r="K65" s="33">
        <f t="shared" si="27"/>
        <v>8</v>
      </c>
      <c r="L65" s="31">
        <v>19</v>
      </c>
      <c r="M65" s="75"/>
      <c r="N65" s="76"/>
      <c r="O65" s="53"/>
      <c r="P65" s="37"/>
      <c r="Q65" s="41"/>
      <c r="R65" s="33">
        <f t="shared" si="28"/>
        <v>0</v>
      </c>
      <c r="S65" s="101"/>
      <c r="T65" s="38">
        <f t="shared" si="24"/>
        <v>0</v>
      </c>
    </row>
    <row r="66" spans="1:20" ht="15.75" customHeight="1" x14ac:dyDescent="0.5">
      <c r="A66" s="77" t="s">
        <v>54</v>
      </c>
      <c r="B66" s="27">
        <v>120</v>
      </c>
      <c r="C66" s="27"/>
      <c r="D66" s="78"/>
      <c r="E66" s="42"/>
      <c r="F66" s="30"/>
      <c r="G66" s="30"/>
      <c r="H66" s="31">
        <f t="shared" si="25"/>
        <v>0</v>
      </c>
      <c r="I66" s="32">
        <f t="shared" si="26"/>
        <v>120</v>
      </c>
      <c r="J66" s="33">
        <f>48+13+120</f>
        <v>181</v>
      </c>
      <c r="K66" s="33">
        <f t="shared" si="27"/>
        <v>61</v>
      </c>
      <c r="L66" s="31">
        <v>39</v>
      </c>
      <c r="M66" s="79"/>
      <c r="N66" s="79"/>
      <c r="O66" s="53"/>
      <c r="P66" s="37"/>
      <c r="Q66" s="41"/>
      <c r="R66" s="33">
        <f t="shared" si="28"/>
        <v>0</v>
      </c>
      <c r="S66" s="101"/>
      <c r="T66" s="38"/>
    </row>
    <row r="67" spans="1:20" ht="24.75" customHeight="1" x14ac:dyDescent="0.75">
      <c r="B67" s="80">
        <f t="shared" ref="B67:D67" si="29">SUM(B6:B66)</f>
        <v>11841</v>
      </c>
      <c r="C67" s="80">
        <f t="shared" si="29"/>
        <v>0</v>
      </c>
      <c r="D67" s="81">
        <f t="shared" si="29"/>
        <v>0</v>
      </c>
      <c r="E67" s="82">
        <f t="shared" ref="E67:I67" si="30">SUM(E6:E66)</f>
        <v>0</v>
      </c>
      <c r="F67" s="82">
        <f t="shared" si="30"/>
        <v>532</v>
      </c>
      <c r="G67" s="82">
        <f t="shared" si="30"/>
        <v>0</v>
      </c>
      <c r="H67" s="83">
        <f t="shared" si="30"/>
        <v>532</v>
      </c>
      <c r="I67" s="84">
        <f t="shared" si="30"/>
        <v>11309</v>
      </c>
      <c r="J67" s="84">
        <f>SUM(J6:J65)</f>
        <v>11112</v>
      </c>
      <c r="K67" s="84">
        <f>SUM(K6:K66)</f>
        <v>-16</v>
      </c>
      <c r="L67" s="85">
        <f t="shared" ref="L67:O67" si="31">SUM(L6:L66)</f>
        <v>4981</v>
      </c>
      <c r="M67" s="85">
        <f t="shared" si="31"/>
        <v>0</v>
      </c>
      <c r="N67" s="85">
        <f t="shared" si="31"/>
        <v>0</v>
      </c>
      <c r="O67" s="85">
        <f t="shared" si="31"/>
        <v>0</v>
      </c>
      <c r="P67" s="98">
        <f t="shared" ref="P67:R67" si="32">SUM(P6:P66)</f>
        <v>0</v>
      </c>
      <c r="Q67" s="84">
        <f t="shared" si="32"/>
        <v>0</v>
      </c>
      <c r="R67" s="84">
        <f t="shared" si="32"/>
        <v>0</v>
      </c>
      <c r="S67" s="84"/>
      <c r="T67" s="87">
        <f>I67+P67</f>
        <v>11309</v>
      </c>
    </row>
    <row r="68" spans="1:20" ht="29.25" customHeight="1" x14ac:dyDescent="0.7">
      <c r="A68" s="93" t="s">
        <v>74</v>
      </c>
      <c r="D68" s="88" t="s">
        <v>55</v>
      </c>
      <c r="E68" s="89">
        <f>E67+F67+G67-D67</f>
        <v>532</v>
      </c>
      <c r="H68" s="90"/>
      <c r="I68" s="90"/>
      <c r="N68" s="91" t="s">
        <v>55</v>
      </c>
      <c r="O68" s="92">
        <f>SUM(O6:O66)</f>
        <v>0</v>
      </c>
    </row>
    <row r="69" spans="1:20" ht="15.75" customHeight="1" x14ac:dyDescent="0.4">
      <c r="G69" s="126" t="s">
        <v>56</v>
      </c>
      <c r="H69" s="117"/>
      <c r="I69" s="127">
        <f>E68+O68</f>
        <v>532</v>
      </c>
    </row>
    <row r="70" spans="1:20" ht="15.75" customHeight="1" x14ac:dyDescent="0.4">
      <c r="G70" s="128" t="s">
        <v>57</v>
      </c>
      <c r="H70" s="109"/>
      <c r="I70" s="115"/>
    </row>
    <row r="71" spans="1:20" ht="15.75" customHeight="1" x14ac:dyDescent="0.35">
      <c r="H71" s="90"/>
      <c r="I71" s="90"/>
    </row>
    <row r="72" spans="1:20" ht="15.75" customHeight="1" x14ac:dyDescent="0.35">
      <c r="H72" s="90"/>
      <c r="I72" s="90"/>
    </row>
    <row r="73" spans="1:20" ht="15.75" customHeight="1" x14ac:dyDescent="0.35">
      <c r="H73" s="90"/>
      <c r="I73" s="90"/>
    </row>
    <row r="74" spans="1:20" ht="15.75" customHeight="1" x14ac:dyDescent="0.35">
      <c r="H74" s="90"/>
      <c r="I74" s="90"/>
    </row>
    <row r="75" spans="1:20" ht="15.75" customHeight="1" x14ac:dyDescent="0.35">
      <c r="H75" s="90"/>
      <c r="I75" s="90"/>
    </row>
    <row r="76" spans="1:20" ht="15.75" customHeight="1" x14ac:dyDescent="0.35">
      <c r="H76" s="90"/>
      <c r="I76" s="90"/>
    </row>
    <row r="77" spans="1:20" ht="15.75" customHeight="1" x14ac:dyDescent="0.35">
      <c r="H77" s="90"/>
      <c r="I77" s="90"/>
    </row>
    <row r="78" spans="1:20" ht="15.75" customHeight="1" x14ac:dyDescent="0.35">
      <c r="H78" s="90"/>
      <c r="I78" s="90"/>
    </row>
    <row r="79" spans="1:20" ht="15.75" customHeight="1" x14ac:dyDescent="0.35">
      <c r="H79" s="90"/>
      <c r="I79" s="90"/>
    </row>
    <row r="80" spans="1:20" ht="15.75" customHeight="1" x14ac:dyDescent="0.35">
      <c r="H80" s="90"/>
      <c r="I80" s="90"/>
    </row>
    <row r="81" spans="8:9" ht="15.75" customHeight="1" x14ac:dyDescent="0.35">
      <c r="H81" s="90"/>
      <c r="I81" s="90"/>
    </row>
    <row r="82" spans="8:9" ht="15.75" customHeight="1" x14ac:dyDescent="0.35">
      <c r="H82" s="90"/>
      <c r="I82" s="90"/>
    </row>
    <row r="83" spans="8:9" ht="15.75" customHeight="1" x14ac:dyDescent="0.35">
      <c r="H83" s="90"/>
      <c r="I83" s="90"/>
    </row>
    <row r="84" spans="8:9" ht="15.75" customHeight="1" x14ac:dyDescent="0.35">
      <c r="H84" s="90"/>
      <c r="I84" s="90"/>
    </row>
    <row r="85" spans="8:9" ht="15.75" customHeight="1" x14ac:dyDescent="0.35">
      <c r="H85" s="90"/>
      <c r="I85" s="90"/>
    </row>
    <row r="86" spans="8:9" ht="15.75" customHeight="1" x14ac:dyDescent="0.35">
      <c r="H86" s="90"/>
      <c r="I86" s="90"/>
    </row>
    <row r="87" spans="8:9" ht="15.75" customHeight="1" x14ac:dyDescent="0.35">
      <c r="H87" s="90"/>
      <c r="I87" s="90"/>
    </row>
    <row r="88" spans="8:9" ht="15.75" customHeight="1" x14ac:dyDescent="0.35">
      <c r="H88" s="90"/>
      <c r="I88" s="90"/>
    </row>
    <row r="89" spans="8:9" ht="15.75" customHeight="1" x14ac:dyDescent="0.35">
      <c r="H89" s="90"/>
      <c r="I89" s="90"/>
    </row>
    <row r="90" spans="8:9" ht="15.75" customHeight="1" x14ac:dyDescent="0.35">
      <c r="H90" s="90"/>
      <c r="I90" s="90"/>
    </row>
    <row r="91" spans="8:9" ht="15.75" customHeight="1" x14ac:dyDescent="0.35">
      <c r="H91" s="90"/>
      <c r="I91" s="90"/>
    </row>
    <row r="92" spans="8:9" ht="15.75" customHeight="1" x14ac:dyDescent="0.35">
      <c r="H92" s="90"/>
      <c r="I92" s="90"/>
    </row>
    <row r="93" spans="8:9" ht="15.75" customHeight="1" x14ac:dyDescent="0.35">
      <c r="H93" s="90"/>
      <c r="I93" s="90"/>
    </row>
    <row r="94" spans="8:9" ht="15.75" customHeight="1" x14ac:dyDescent="0.35">
      <c r="H94" s="90"/>
      <c r="I94" s="90"/>
    </row>
    <row r="95" spans="8:9" ht="15.75" customHeight="1" x14ac:dyDescent="0.35">
      <c r="H95" s="90"/>
      <c r="I95" s="90"/>
    </row>
    <row r="96" spans="8:9" ht="15.75" customHeight="1" x14ac:dyDescent="0.35">
      <c r="H96" s="90"/>
      <c r="I96" s="90"/>
    </row>
    <row r="97" spans="8:9" ht="15.75" customHeight="1" x14ac:dyDescent="0.35">
      <c r="H97" s="90"/>
      <c r="I97" s="90"/>
    </row>
    <row r="98" spans="8:9" ht="15.75" customHeight="1" x14ac:dyDescent="0.35">
      <c r="H98" s="90"/>
      <c r="I98" s="90"/>
    </row>
    <row r="99" spans="8:9" ht="15.75" customHeight="1" x14ac:dyDescent="0.35">
      <c r="H99" s="90"/>
      <c r="I99" s="90"/>
    </row>
    <row r="100" spans="8:9" ht="15.75" customHeight="1" x14ac:dyDescent="0.35">
      <c r="H100" s="90"/>
      <c r="I100" s="90"/>
    </row>
    <row r="101" spans="8:9" ht="15.75" customHeight="1" x14ac:dyDescent="0.35">
      <c r="H101" s="90"/>
      <c r="I101" s="90"/>
    </row>
    <row r="102" spans="8:9" ht="15.75" customHeight="1" x14ac:dyDescent="0.35">
      <c r="H102" s="90"/>
      <c r="I102" s="90"/>
    </row>
    <row r="103" spans="8:9" ht="15.75" customHeight="1" x14ac:dyDescent="0.35">
      <c r="H103" s="90"/>
      <c r="I103" s="90"/>
    </row>
    <row r="104" spans="8:9" ht="15.75" customHeight="1" x14ac:dyDescent="0.35">
      <c r="H104" s="90"/>
      <c r="I104" s="90"/>
    </row>
    <row r="105" spans="8:9" ht="15.75" customHeight="1" x14ac:dyDescent="0.35">
      <c r="H105" s="90"/>
      <c r="I105" s="90"/>
    </row>
    <row r="106" spans="8:9" ht="15.75" customHeight="1" x14ac:dyDescent="0.35">
      <c r="H106" s="90"/>
      <c r="I106" s="90"/>
    </row>
    <row r="107" spans="8:9" ht="15.75" customHeight="1" x14ac:dyDescent="0.35">
      <c r="H107" s="90"/>
      <c r="I107" s="90"/>
    </row>
    <row r="108" spans="8:9" ht="15.75" customHeight="1" x14ac:dyDescent="0.35">
      <c r="H108" s="90"/>
      <c r="I108" s="90"/>
    </row>
    <row r="109" spans="8:9" ht="15.75" customHeight="1" x14ac:dyDescent="0.35">
      <c r="H109" s="90"/>
      <c r="I109" s="90"/>
    </row>
    <row r="110" spans="8:9" ht="15.75" customHeight="1" x14ac:dyDescent="0.35">
      <c r="H110" s="90"/>
      <c r="I110" s="90"/>
    </row>
    <row r="111" spans="8:9" ht="15.75" customHeight="1" x14ac:dyDescent="0.35">
      <c r="H111" s="90"/>
      <c r="I111" s="90"/>
    </row>
    <row r="112" spans="8:9" ht="15.75" customHeight="1" x14ac:dyDescent="0.35">
      <c r="H112" s="90"/>
      <c r="I112" s="90"/>
    </row>
    <row r="113" spans="8:9" ht="15.75" customHeight="1" x14ac:dyDescent="0.35">
      <c r="H113" s="90"/>
      <c r="I113" s="90"/>
    </row>
    <row r="114" spans="8:9" ht="15.75" customHeight="1" x14ac:dyDescent="0.35">
      <c r="H114" s="90"/>
      <c r="I114" s="90"/>
    </row>
    <row r="115" spans="8:9" ht="15.75" customHeight="1" x14ac:dyDescent="0.35">
      <c r="H115" s="90"/>
      <c r="I115" s="90"/>
    </row>
    <row r="116" spans="8:9" ht="15.75" customHeight="1" x14ac:dyDescent="0.35">
      <c r="H116" s="90"/>
      <c r="I116" s="90"/>
    </row>
    <row r="117" spans="8:9" ht="15.75" customHeight="1" x14ac:dyDescent="0.35">
      <c r="H117" s="90"/>
      <c r="I117" s="90"/>
    </row>
    <row r="118" spans="8:9" ht="15.75" customHeight="1" x14ac:dyDescent="0.35">
      <c r="H118" s="90"/>
      <c r="I118" s="90"/>
    </row>
    <row r="119" spans="8:9" ht="15.75" customHeight="1" x14ac:dyDescent="0.35">
      <c r="H119" s="90"/>
      <c r="I119" s="90"/>
    </row>
    <row r="120" spans="8:9" ht="15.75" customHeight="1" x14ac:dyDescent="0.35">
      <c r="H120" s="90"/>
      <c r="I120" s="90"/>
    </row>
    <row r="121" spans="8:9" ht="15.75" customHeight="1" x14ac:dyDescent="0.35">
      <c r="H121" s="90"/>
      <c r="I121" s="90"/>
    </row>
    <row r="122" spans="8:9" ht="15.75" customHeight="1" x14ac:dyDescent="0.35">
      <c r="H122" s="90"/>
      <c r="I122" s="90"/>
    </row>
    <row r="123" spans="8:9" ht="15.75" customHeight="1" x14ac:dyDescent="0.35">
      <c r="H123" s="90"/>
      <c r="I123" s="90"/>
    </row>
    <row r="124" spans="8:9" ht="15.75" customHeight="1" x14ac:dyDescent="0.35">
      <c r="H124" s="90"/>
      <c r="I124" s="90"/>
    </row>
    <row r="125" spans="8:9" ht="15.75" customHeight="1" x14ac:dyDescent="0.35">
      <c r="H125" s="90"/>
      <c r="I125" s="90"/>
    </row>
    <row r="126" spans="8:9" ht="15.75" customHeight="1" x14ac:dyDescent="0.35">
      <c r="H126" s="90"/>
      <c r="I126" s="90"/>
    </row>
    <row r="127" spans="8:9" ht="15.75" customHeight="1" x14ac:dyDescent="0.35">
      <c r="H127" s="90"/>
      <c r="I127" s="90"/>
    </row>
    <row r="128" spans="8:9" ht="15.75" customHeight="1" x14ac:dyDescent="0.35">
      <c r="H128" s="90"/>
      <c r="I128" s="90"/>
    </row>
    <row r="129" spans="8:9" ht="15.75" customHeight="1" x14ac:dyDescent="0.35">
      <c r="H129" s="90"/>
      <c r="I129" s="90"/>
    </row>
    <row r="130" spans="8:9" ht="15.75" customHeight="1" x14ac:dyDescent="0.35">
      <c r="H130" s="90"/>
      <c r="I130" s="90"/>
    </row>
    <row r="131" spans="8:9" ht="15.75" customHeight="1" x14ac:dyDescent="0.35">
      <c r="H131" s="90"/>
      <c r="I131" s="90"/>
    </row>
    <row r="132" spans="8:9" ht="15.75" customHeight="1" x14ac:dyDescent="0.35">
      <c r="H132" s="90"/>
      <c r="I132" s="90"/>
    </row>
    <row r="133" spans="8:9" ht="15.75" customHeight="1" x14ac:dyDescent="0.35">
      <c r="H133" s="90"/>
      <c r="I133" s="90"/>
    </row>
    <row r="134" spans="8:9" ht="15.75" customHeight="1" x14ac:dyDescent="0.35">
      <c r="H134" s="90"/>
      <c r="I134" s="90"/>
    </row>
    <row r="135" spans="8:9" ht="15.75" customHeight="1" x14ac:dyDescent="0.35">
      <c r="H135" s="90"/>
      <c r="I135" s="90"/>
    </row>
    <row r="136" spans="8:9" ht="15.75" customHeight="1" x14ac:dyDescent="0.35">
      <c r="H136" s="90"/>
      <c r="I136" s="90"/>
    </row>
    <row r="137" spans="8:9" ht="15.75" customHeight="1" x14ac:dyDescent="0.35">
      <c r="H137" s="90"/>
      <c r="I137" s="90"/>
    </row>
    <row r="138" spans="8:9" ht="15.75" customHeight="1" x14ac:dyDescent="0.35">
      <c r="H138" s="90"/>
      <c r="I138" s="90"/>
    </row>
    <row r="139" spans="8:9" ht="15.75" customHeight="1" x14ac:dyDescent="0.35">
      <c r="H139" s="90"/>
      <c r="I139" s="90"/>
    </row>
    <row r="140" spans="8:9" ht="15.75" customHeight="1" x14ac:dyDescent="0.35">
      <c r="H140" s="90"/>
      <c r="I140" s="90"/>
    </row>
    <row r="141" spans="8:9" ht="15.75" customHeight="1" x14ac:dyDescent="0.35">
      <c r="H141" s="90"/>
      <c r="I141" s="90"/>
    </row>
    <row r="142" spans="8:9" ht="15.75" customHeight="1" x14ac:dyDescent="0.35">
      <c r="H142" s="90"/>
      <c r="I142" s="90"/>
    </row>
    <row r="143" spans="8:9" ht="15.75" customHeight="1" x14ac:dyDescent="0.35">
      <c r="H143" s="90"/>
      <c r="I143" s="90"/>
    </row>
    <row r="144" spans="8:9" ht="15.75" customHeight="1" x14ac:dyDescent="0.35">
      <c r="H144" s="90"/>
      <c r="I144" s="90"/>
    </row>
    <row r="145" spans="8:9" ht="15.75" customHeight="1" x14ac:dyDescent="0.35">
      <c r="H145" s="90"/>
      <c r="I145" s="90"/>
    </row>
    <row r="146" spans="8:9" ht="15.75" customHeight="1" x14ac:dyDescent="0.35">
      <c r="H146" s="90"/>
      <c r="I146" s="90"/>
    </row>
    <row r="147" spans="8:9" ht="15.75" customHeight="1" x14ac:dyDescent="0.35">
      <c r="H147" s="90"/>
      <c r="I147" s="90"/>
    </row>
    <row r="148" spans="8:9" ht="15.75" customHeight="1" x14ac:dyDescent="0.35">
      <c r="H148" s="90"/>
      <c r="I148" s="90"/>
    </row>
    <row r="149" spans="8:9" ht="15.75" customHeight="1" x14ac:dyDescent="0.35">
      <c r="H149" s="90"/>
      <c r="I149" s="90"/>
    </row>
    <row r="150" spans="8:9" ht="15.75" customHeight="1" x14ac:dyDescent="0.35">
      <c r="H150" s="90"/>
      <c r="I150" s="90"/>
    </row>
    <row r="151" spans="8:9" ht="15.75" customHeight="1" x14ac:dyDescent="0.35">
      <c r="H151" s="90"/>
      <c r="I151" s="90"/>
    </row>
    <row r="152" spans="8:9" ht="15.75" customHeight="1" x14ac:dyDescent="0.35">
      <c r="H152" s="90"/>
      <c r="I152" s="90"/>
    </row>
    <row r="153" spans="8:9" ht="15.75" customHeight="1" x14ac:dyDescent="0.35">
      <c r="H153" s="90"/>
      <c r="I153" s="90"/>
    </row>
    <row r="154" spans="8:9" ht="15.75" customHeight="1" x14ac:dyDescent="0.35">
      <c r="H154" s="90"/>
      <c r="I154" s="90"/>
    </row>
    <row r="155" spans="8:9" ht="15.75" customHeight="1" x14ac:dyDescent="0.35">
      <c r="H155" s="90"/>
      <c r="I155" s="90"/>
    </row>
    <row r="156" spans="8:9" ht="15.75" customHeight="1" x14ac:dyDescent="0.35">
      <c r="H156" s="90"/>
      <c r="I156" s="90"/>
    </row>
    <row r="157" spans="8:9" ht="15.75" customHeight="1" x14ac:dyDescent="0.35">
      <c r="H157" s="90"/>
      <c r="I157" s="90"/>
    </row>
    <row r="158" spans="8:9" ht="15.75" customHeight="1" x14ac:dyDescent="0.35">
      <c r="H158" s="90"/>
      <c r="I158" s="90"/>
    </row>
    <row r="159" spans="8:9" ht="15.75" customHeight="1" x14ac:dyDescent="0.35">
      <c r="H159" s="90"/>
      <c r="I159" s="90"/>
    </row>
    <row r="160" spans="8:9" ht="15.75" customHeight="1" x14ac:dyDescent="0.35">
      <c r="H160" s="90"/>
      <c r="I160" s="90"/>
    </row>
    <row r="161" spans="8:9" ht="15.75" customHeight="1" x14ac:dyDescent="0.35">
      <c r="H161" s="90"/>
      <c r="I161" s="90"/>
    </row>
    <row r="162" spans="8:9" ht="15.75" customHeight="1" x14ac:dyDescent="0.35">
      <c r="H162" s="90"/>
      <c r="I162" s="90"/>
    </row>
    <row r="163" spans="8:9" ht="15.75" customHeight="1" x14ac:dyDescent="0.35">
      <c r="H163" s="90"/>
      <c r="I163" s="90"/>
    </row>
    <row r="164" spans="8:9" ht="15.75" customHeight="1" x14ac:dyDescent="0.35">
      <c r="H164" s="90"/>
      <c r="I164" s="90"/>
    </row>
    <row r="165" spans="8:9" ht="15.75" customHeight="1" x14ac:dyDescent="0.35">
      <c r="H165" s="90"/>
      <c r="I165" s="90"/>
    </row>
    <row r="166" spans="8:9" ht="15.75" customHeight="1" x14ac:dyDescent="0.35">
      <c r="H166" s="90"/>
      <c r="I166" s="90"/>
    </row>
    <row r="167" spans="8:9" ht="15.75" customHeight="1" x14ac:dyDescent="0.35">
      <c r="H167" s="90"/>
      <c r="I167" s="90"/>
    </row>
    <row r="168" spans="8:9" ht="15.75" customHeight="1" x14ac:dyDescent="0.35">
      <c r="H168" s="90"/>
      <c r="I168" s="90"/>
    </row>
    <row r="169" spans="8:9" ht="15.75" customHeight="1" x14ac:dyDescent="0.35">
      <c r="H169" s="90"/>
      <c r="I169" s="90"/>
    </row>
    <row r="170" spans="8:9" ht="15.75" customHeight="1" x14ac:dyDescent="0.35">
      <c r="H170" s="90"/>
      <c r="I170" s="90"/>
    </row>
    <row r="171" spans="8:9" ht="15.75" customHeight="1" x14ac:dyDescent="0.35">
      <c r="H171" s="90"/>
      <c r="I171" s="90"/>
    </row>
    <row r="172" spans="8:9" ht="15.75" customHeight="1" x14ac:dyDescent="0.35">
      <c r="H172" s="90"/>
      <c r="I172" s="90"/>
    </row>
    <row r="173" spans="8:9" ht="15.75" customHeight="1" x14ac:dyDescent="0.35">
      <c r="H173" s="90"/>
      <c r="I173" s="90"/>
    </row>
    <row r="174" spans="8:9" ht="15.75" customHeight="1" x14ac:dyDescent="0.35">
      <c r="H174" s="90"/>
      <c r="I174" s="90"/>
    </row>
    <row r="175" spans="8:9" ht="15.75" customHeight="1" x14ac:dyDescent="0.35">
      <c r="H175" s="90"/>
      <c r="I175" s="90"/>
    </row>
    <row r="176" spans="8:9" ht="15.75" customHeight="1" x14ac:dyDescent="0.35">
      <c r="H176" s="90"/>
      <c r="I176" s="90"/>
    </row>
    <row r="177" spans="8:9" ht="15.75" customHeight="1" x14ac:dyDescent="0.35">
      <c r="H177" s="90"/>
      <c r="I177" s="90"/>
    </row>
    <row r="178" spans="8:9" ht="15.75" customHeight="1" x14ac:dyDescent="0.35">
      <c r="H178" s="90"/>
      <c r="I178" s="90"/>
    </row>
    <row r="179" spans="8:9" ht="15.75" customHeight="1" x14ac:dyDescent="0.35">
      <c r="H179" s="90"/>
      <c r="I179" s="90"/>
    </row>
    <row r="180" spans="8:9" ht="15.75" customHeight="1" x14ac:dyDescent="0.35">
      <c r="H180" s="90"/>
      <c r="I180" s="90"/>
    </row>
    <row r="181" spans="8:9" ht="15.75" customHeight="1" x14ac:dyDescent="0.35">
      <c r="H181" s="90"/>
      <c r="I181" s="90"/>
    </row>
    <row r="182" spans="8:9" ht="15.75" customHeight="1" x14ac:dyDescent="0.35">
      <c r="H182" s="90"/>
      <c r="I182" s="90"/>
    </row>
    <row r="183" spans="8:9" ht="15.75" customHeight="1" x14ac:dyDescent="0.35">
      <c r="H183" s="90"/>
      <c r="I183" s="90"/>
    </row>
    <row r="184" spans="8:9" ht="15.75" customHeight="1" x14ac:dyDescent="0.35">
      <c r="H184" s="90"/>
      <c r="I184" s="90"/>
    </row>
    <row r="185" spans="8:9" ht="15.75" customHeight="1" x14ac:dyDescent="0.35">
      <c r="H185" s="90"/>
      <c r="I185" s="90"/>
    </row>
    <row r="186" spans="8:9" ht="15.75" customHeight="1" x14ac:dyDescent="0.35">
      <c r="H186" s="90"/>
      <c r="I186" s="90"/>
    </row>
    <row r="187" spans="8:9" ht="15.75" customHeight="1" x14ac:dyDescent="0.35">
      <c r="H187" s="90"/>
      <c r="I187" s="90"/>
    </row>
    <row r="188" spans="8:9" ht="15.75" customHeight="1" x14ac:dyDescent="0.35">
      <c r="H188" s="90"/>
      <c r="I188" s="90"/>
    </row>
    <row r="189" spans="8:9" ht="15.75" customHeight="1" x14ac:dyDescent="0.35">
      <c r="H189" s="90"/>
      <c r="I189" s="90"/>
    </row>
    <row r="190" spans="8:9" ht="15.75" customHeight="1" x14ac:dyDescent="0.35">
      <c r="H190" s="90"/>
      <c r="I190" s="90"/>
    </row>
    <row r="191" spans="8:9" ht="15.75" customHeight="1" x14ac:dyDescent="0.35">
      <c r="H191" s="90"/>
      <c r="I191" s="90"/>
    </row>
    <row r="192" spans="8:9" ht="15.75" customHeight="1" x14ac:dyDescent="0.35">
      <c r="H192" s="90"/>
      <c r="I192" s="90"/>
    </row>
    <row r="193" spans="8:9" ht="15.75" customHeight="1" x14ac:dyDescent="0.35">
      <c r="H193" s="90"/>
      <c r="I193" s="90"/>
    </row>
    <row r="194" spans="8:9" ht="15.75" customHeight="1" x14ac:dyDescent="0.35">
      <c r="H194" s="90"/>
      <c r="I194" s="90"/>
    </row>
    <row r="195" spans="8:9" ht="15.75" customHeight="1" x14ac:dyDescent="0.35">
      <c r="H195" s="90"/>
      <c r="I195" s="90"/>
    </row>
    <row r="196" spans="8:9" ht="15.75" customHeight="1" x14ac:dyDescent="0.35">
      <c r="H196" s="90"/>
      <c r="I196" s="90"/>
    </row>
    <row r="197" spans="8:9" ht="15.75" customHeight="1" x14ac:dyDescent="0.35">
      <c r="H197" s="90"/>
      <c r="I197" s="90"/>
    </row>
    <row r="198" spans="8:9" ht="15.75" customHeight="1" x14ac:dyDescent="0.35">
      <c r="H198" s="90"/>
      <c r="I198" s="90"/>
    </row>
    <row r="199" spans="8:9" ht="15.75" customHeight="1" x14ac:dyDescent="0.35">
      <c r="H199" s="90"/>
      <c r="I199" s="90"/>
    </row>
    <row r="200" spans="8:9" ht="15.75" customHeight="1" x14ac:dyDescent="0.35">
      <c r="H200" s="90"/>
      <c r="I200" s="90"/>
    </row>
    <row r="201" spans="8:9" ht="15.75" customHeight="1" x14ac:dyDescent="0.35">
      <c r="H201" s="90"/>
      <c r="I201" s="90"/>
    </row>
    <row r="202" spans="8:9" ht="15.75" customHeight="1" x14ac:dyDescent="0.35">
      <c r="H202" s="90"/>
      <c r="I202" s="90"/>
    </row>
    <row r="203" spans="8:9" ht="15.75" customHeight="1" x14ac:dyDescent="0.35">
      <c r="H203" s="90"/>
      <c r="I203" s="90"/>
    </row>
    <row r="204" spans="8:9" ht="15.75" customHeight="1" x14ac:dyDescent="0.35">
      <c r="H204" s="90"/>
      <c r="I204" s="90"/>
    </row>
    <row r="205" spans="8:9" ht="15.75" customHeight="1" x14ac:dyDescent="0.35">
      <c r="H205" s="90"/>
      <c r="I205" s="90"/>
    </row>
    <row r="206" spans="8:9" ht="15.75" customHeight="1" x14ac:dyDescent="0.35">
      <c r="H206" s="90"/>
      <c r="I206" s="90"/>
    </row>
    <row r="207" spans="8:9" ht="15.75" customHeight="1" x14ac:dyDescent="0.35">
      <c r="H207" s="90"/>
      <c r="I207" s="90"/>
    </row>
    <row r="208" spans="8:9" ht="15.75" customHeight="1" x14ac:dyDescent="0.35">
      <c r="H208" s="90"/>
      <c r="I208" s="90"/>
    </row>
    <row r="209" spans="8:9" ht="15.75" customHeight="1" x14ac:dyDescent="0.35">
      <c r="H209" s="90"/>
      <c r="I209" s="90"/>
    </row>
    <row r="210" spans="8:9" ht="15.75" customHeight="1" x14ac:dyDescent="0.35">
      <c r="H210" s="90"/>
      <c r="I210" s="90"/>
    </row>
    <row r="211" spans="8:9" ht="15.75" customHeight="1" x14ac:dyDescent="0.35">
      <c r="H211" s="90"/>
      <c r="I211" s="90"/>
    </row>
    <row r="212" spans="8:9" ht="15.75" customHeight="1" x14ac:dyDescent="0.35">
      <c r="H212" s="90"/>
      <c r="I212" s="90"/>
    </row>
    <row r="213" spans="8:9" ht="15.75" customHeight="1" x14ac:dyDescent="0.35">
      <c r="H213" s="90"/>
      <c r="I213" s="90"/>
    </row>
    <row r="214" spans="8:9" ht="15.75" customHeight="1" x14ac:dyDescent="0.35">
      <c r="H214" s="90"/>
      <c r="I214" s="90"/>
    </row>
    <row r="215" spans="8:9" ht="15.75" customHeight="1" x14ac:dyDescent="0.35">
      <c r="H215" s="90"/>
      <c r="I215" s="90"/>
    </row>
    <row r="216" spans="8:9" ht="15.75" customHeight="1" x14ac:dyDescent="0.35">
      <c r="H216" s="90"/>
      <c r="I216" s="90"/>
    </row>
    <row r="217" spans="8:9" ht="15.75" customHeight="1" x14ac:dyDescent="0.35">
      <c r="H217" s="90"/>
      <c r="I217" s="90"/>
    </row>
    <row r="218" spans="8:9" ht="15.75" customHeight="1" x14ac:dyDescent="0.35">
      <c r="H218" s="90"/>
      <c r="I218" s="90"/>
    </row>
    <row r="219" spans="8:9" ht="15.75" customHeight="1" x14ac:dyDescent="0.35">
      <c r="H219" s="90"/>
      <c r="I219" s="90"/>
    </row>
    <row r="220" spans="8:9" ht="15.75" customHeight="1" x14ac:dyDescent="0.35">
      <c r="H220" s="90"/>
      <c r="I220" s="90"/>
    </row>
    <row r="221" spans="8:9" ht="15.75" customHeight="1" x14ac:dyDescent="0.35">
      <c r="H221" s="90"/>
      <c r="I221" s="90"/>
    </row>
    <row r="222" spans="8:9" ht="15.75" customHeight="1" x14ac:dyDescent="0.35">
      <c r="H222" s="90"/>
      <c r="I222" s="90"/>
    </row>
    <row r="223" spans="8:9" ht="15.75" customHeight="1" x14ac:dyDescent="0.35">
      <c r="H223" s="90"/>
      <c r="I223" s="90"/>
    </row>
    <row r="224" spans="8:9" ht="15.75" customHeight="1" x14ac:dyDescent="0.35">
      <c r="H224" s="90"/>
      <c r="I224" s="90"/>
    </row>
    <row r="225" spans="8:9" ht="15.75" customHeight="1" x14ac:dyDescent="0.35">
      <c r="H225" s="90"/>
      <c r="I225" s="90"/>
    </row>
    <row r="226" spans="8:9" ht="15.75" customHeight="1" x14ac:dyDescent="0.35">
      <c r="H226" s="90"/>
      <c r="I226" s="90"/>
    </row>
    <row r="227" spans="8:9" ht="15.75" customHeight="1" x14ac:dyDescent="0.35">
      <c r="H227" s="90"/>
      <c r="I227" s="90"/>
    </row>
    <row r="228" spans="8:9" ht="15.75" customHeight="1" x14ac:dyDescent="0.35">
      <c r="H228" s="90"/>
      <c r="I228" s="90"/>
    </row>
    <row r="229" spans="8:9" ht="15.75" customHeight="1" x14ac:dyDescent="0.35">
      <c r="H229" s="90"/>
      <c r="I229" s="90"/>
    </row>
    <row r="230" spans="8:9" ht="15.75" customHeight="1" x14ac:dyDescent="0.35">
      <c r="H230" s="90"/>
      <c r="I230" s="90"/>
    </row>
    <row r="231" spans="8:9" ht="15.75" customHeight="1" x14ac:dyDescent="0.35">
      <c r="H231" s="90"/>
      <c r="I231" s="90"/>
    </row>
    <row r="232" spans="8:9" ht="15.75" customHeight="1" x14ac:dyDescent="0.35">
      <c r="H232" s="90"/>
      <c r="I232" s="90"/>
    </row>
    <row r="233" spans="8:9" ht="15.75" customHeight="1" x14ac:dyDescent="0.35">
      <c r="H233" s="90"/>
      <c r="I233" s="90"/>
    </row>
    <row r="234" spans="8:9" ht="15.75" customHeight="1" x14ac:dyDescent="0.35">
      <c r="H234" s="90"/>
      <c r="I234" s="90"/>
    </row>
    <row r="235" spans="8:9" ht="15.75" customHeight="1" x14ac:dyDescent="0.35">
      <c r="H235" s="90"/>
      <c r="I235" s="90"/>
    </row>
    <row r="236" spans="8:9" ht="15.75" customHeight="1" x14ac:dyDescent="0.35">
      <c r="H236" s="90"/>
      <c r="I236" s="90"/>
    </row>
    <row r="237" spans="8:9" ht="15.75" customHeight="1" x14ac:dyDescent="0.35">
      <c r="H237" s="90"/>
      <c r="I237" s="90"/>
    </row>
    <row r="238" spans="8:9" ht="15.75" customHeight="1" x14ac:dyDescent="0.35">
      <c r="H238" s="90"/>
      <c r="I238" s="90"/>
    </row>
    <row r="239" spans="8:9" ht="15.75" customHeight="1" x14ac:dyDescent="0.35">
      <c r="H239" s="90"/>
      <c r="I239" s="90"/>
    </row>
    <row r="240" spans="8:9" ht="15.75" customHeight="1" x14ac:dyDescent="0.35">
      <c r="H240" s="90"/>
      <c r="I240" s="90"/>
    </row>
    <row r="241" spans="8:9" ht="15.75" customHeight="1" x14ac:dyDescent="0.35">
      <c r="H241" s="90"/>
      <c r="I241" s="90"/>
    </row>
    <row r="242" spans="8:9" ht="15.75" customHeight="1" x14ac:dyDescent="0.35">
      <c r="H242" s="90"/>
      <c r="I242" s="90"/>
    </row>
    <row r="243" spans="8:9" ht="15.75" customHeight="1" x14ac:dyDescent="0.35">
      <c r="H243" s="90"/>
      <c r="I243" s="90"/>
    </row>
    <row r="244" spans="8:9" ht="15.75" customHeight="1" x14ac:dyDescent="0.35">
      <c r="H244" s="90"/>
      <c r="I244" s="90"/>
    </row>
    <row r="245" spans="8:9" ht="15.75" customHeight="1" x14ac:dyDescent="0.35">
      <c r="H245" s="90"/>
      <c r="I245" s="90"/>
    </row>
    <row r="246" spans="8:9" ht="15.75" customHeight="1" x14ac:dyDescent="0.35">
      <c r="H246" s="90"/>
      <c r="I246" s="90"/>
    </row>
    <row r="247" spans="8:9" ht="15.75" customHeight="1" x14ac:dyDescent="0.35">
      <c r="H247" s="90"/>
      <c r="I247" s="90"/>
    </row>
    <row r="248" spans="8:9" ht="15.75" customHeight="1" x14ac:dyDescent="0.35">
      <c r="H248" s="90"/>
      <c r="I248" s="90"/>
    </row>
    <row r="249" spans="8:9" ht="15.75" customHeight="1" x14ac:dyDescent="0.35">
      <c r="H249" s="90"/>
      <c r="I249" s="90"/>
    </row>
    <row r="250" spans="8:9" ht="15.75" customHeight="1" x14ac:dyDescent="0.35">
      <c r="H250" s="90"/>
      <c r="I250" s="90"/>
    </row>
    <row r="251" spans="8:9" ht="15.75" customHeight="1" x14ac:dyDescent="0.35">
      <c r="H251" s="90"/>
      <c r="I251" s="90"/>
    </row>
    <row r="252" spans="8:9" ht="15.75" customHeight="1" x14ac:dyDescent="0.35">
      <c r="H252" s="90"/>
      <c r="I252" s="90"/>
    </row>
    <row r="253" spans="8:9" ht="15.75" customHeight="1" x14ac:dyDescent="0.35">
      <c r="H253" s="90"/>
      <c r="I253" s="90"/>
    </row>
    <row r="254" spans="8:9" ht="15.75" customHeight="1" x14ac:dyDescent="0.35">
      <c r="H254" s="90"/>
      <c r="I254" s="90"/>
    </row>
    <row r="255" spans="8:9" ht="15.75" customHeight="1" x14ac:dyDescent="0.35">
      <c r="H255" s="90"/>
      <c r="I255" s="90"/>
    </row>
    <row r="256" spans="8:9" ht="15.75" customHeight="1" x14ac:dyDescent="0.35">
      <c r="H256" s="90"/>
      <c r="I256" s="90"/>
    </row>
    <row r="257" spans="8:9" ht="15.75" customHeight="1" x14ac:dyDescent="0.35">
      <c r="H257" s="90"/>
      <c r="I257" s="90"/>
    </row>
    <row r="258" spans="8:9" ht="15.75" customHeight="1" x14ac:dyDescent="0.35">
      <c r="H258" s="90"/>
      <c r="I258" s="90"/>
    </row>
    <row r="259" spans="8:9" ht="15.75" customHeight="1" x14ac:dyDescent="0.35">
      <c r="H259" s="90"/>
      <c r="I259" s="90"/>
    </row>
    <row r="260" spans="8:9" ht="15.75" customHeight="1" x14ac:dyDescent="0.35">
      <c r="H260" s="90"/>
      <c r="I260" s="90"/>
    </row>
    <row r="261" spans="8:9" ht="15.75" customHeight="1" x14ac:dyDescent="0.35">
      <c r="H261" s="90"/>
      <c r="I261" s="90"/>
    </row>
    <row r="262" spans="8:9" ht="15.75" customHeight="1" x14ac:dyDescent="0.35">
      <c r="H262" s="90"/>
      <c r="I262" s="90"/>
    </row>
    <row r="263" spans="8:9" ht="15.75" customHeight="1" x14ac:dyDescent="0.35">
      <c r="H263" s="90"/>
      <c r="I263" s="90"/>
    </row>
    <row r="264" spans="8:9" ht="15.75" customHeight="1" x14ac:dyDescent="0.35">
      <c r="H264" s="90"/>
      <c r="I264" s="90"/>
    </row>
    <row r="265" spans="8:9" ht="15.75" customHeight="1" x14ac:dyDescent="0.35">
      <c r="H265" s="90"/>
      <c r="I265" s="90"/>
    </row>
    <row r="266" spans="8:9" ht="15.75" customHeight="1" x14ac:dyDescent="0.35">
      <c r="H266" s="90"/>
      <c r="I266" s="90"/>
    </row>
    <row r="267" spans="8:9" ht="15.75" customHeight="1" x14ac:dyDescent="0.35">
      <c r="H267" s="90"/>
      <c r="I267" s="90"/>
    </row>
    <row r="268" spans="8:9" ht="15.75" customHeight="1" x14ac:dyDescent="0.35">
      <c r="H268" s="90"/>
      <c r="I268" s="90"/>
    </row>
    <row r="269" spans="8:9" ht="15.75" customHeight="1" x14ac:dyDescent="0.35">
      <c r="H269" s="90"/>
      <c r="I269" s="90"/>
    </row>
    <row r="270" spans="8:9" ht="15.75" customHeight="1" x14ac:dyDescent="0.35">
      <c r="H270" s="90"/>
      <c r="I270" s="90"/>
    </row>
    <row r="271" spans="8:9" ht="15.75" customHeight="1" x14ac:dyDescent="0.35">
      <c r="H271" s="90"/>
      <c r="I271" s="90"/>
    </row>
    <row r="272" spans="8:9" ht="15.75" customHeight="1" x14ac:dyDescent="0.35">
      <c r="H272" s="90"/>
      <c r="I272" s="90"/>
    </row>
    <row r="273" spans="8:9" ht="15.75" customHeight="1" x14ac:dyDescent="0.35">
      <c r="H273" s="90"/>
      <c r="I273" s="90"/>
    </row>
    <row r="274" spans="8:9" ht="15.75" customHeight="1" x14ac:dyDescent="0.35">
      <c r="H274" s="90"/>
      <c r="I274" s="90"/>
    </row>
    <row r="275" spans="8:9" ht="15.75" customHeight="1" x14ac:dyDescent="0.35">
      <c r="H275" s="90"/>
      <c r="I275" s="90"/>
    </row>
    <row r="276" spans="8:9" ht="15.75" customHeight="1" x14ac:dyDescent="0.35">
      <c r="H276" s="90"/>
      <c r="I276" s="90"/>
    </row>
    <row r="277" spans="8:9" ht="15.75" customHeight="1" x14ac:dyDescent="0.35">
      <c r="H277" s="90"/>
      <c r="I277" s="90"/>
    </row>
    <row r="278" spans="8:9" ht="15.75" customHeight="1" x14ac:dyDescent="0.35">
      <c r="H278" s="90"/>
      <c r="I278" s="90"/>
    </row>
    <row r="279" spans="8:9" ht="15.75" customHeight="1" x14ac:dyDescent="0.35">
      <c r="H279" s="90"/>
      <c r="I279" s="90"/>
    </row>
    <row r="280" spans="8:9" ht="15.75" customHeight="1" x14ac:dyDescent="0.35">
      <c r="H280" s="90"/>
      <c r="I280" s="90"/>
    </row>
    <row r="281" spans="8:9" ht="15.75" customHeight="1" x14ac:dyDescent="0.35">
      <c r="H281" s="90"/>
      <c r="I281" s="90"/>
    </row>
    <row r="282" spans="8:9" ht="15.75" customHeight="1" x14ac:dyDescent="0.35">
      <c r="H282" s="90"/>
      <c r="I282" s="90"/>
    </row>
    <row r="283" spans="8:9" ht="15.75" customHeight="1" x14ac:dyDescent="0.35">
      <c r="H283" s="90"/>
      <c r="I283" s="90"/>
    </row>
    <row r="284" spans="8:9" ht="15.75" customHeight="1" x14ac:dyDescent="0.35">
      <c r="H284" s="90"/>
      <c r="I284" s="90"/>
    </row>
    <row r="285" spans="8:9" ht="15.75" customHeight="1" x14ac:dyDescent="0.35">
      <c r="H285" s="90"/>
      <c r="I285" s="90"/>
    </row>
    <row r="286" spans="8:9" ht="15.75" customHeight="1" x14ac:dyDescent="0.35">
      <c r="H286" s="90"/>
      <c r="I286" s="90"/>
    </row>
    <row r="287" spans="8:9" ht="15.75" customHeight="1" x14ac:dyDescent="0.35">
      <c r="H287" s="90"/>
      <c r="I287" s="90"/>
    </row>
    <row r="288" spans="8:9" ht="15.75" customHeight="1" x14ac:dyDescent="0.35">
      <c r="H288" s="90"/>
      <c r="I288" s="90"/>
    </row>
    <row r="289" spans="8:9" ht="15.75" customHeight="1" x14ac:dyDescent="0.35">
      <c r="H289" s="90"/>
      <c r="I289" s="90"/>
    </row>
    <row r="290" spans="8:9" ht="15.75" customHeight="1" x14ac:dyDescent="0.35">
      <c r="H290" s="90"/>
      <c r="I290" s="90"/>
    </row>
    <row r="291" spans="8:9" ht="15.75" customHeight="1" x14ac:dyDescent="0.35">
      <c r="H291" s="90"/>
      <c r="I291" s="90"/>
    </row>
    <row r="292" spans="8:9" ht="15.75" customHeight="1" x14ac:dyDescent="0.35">
      <c r="H292" s="90"/>
      <c r="I292" s="90"/>
    </row>
    <row r="293" spans="8:9" ht="15.75" customHeight="1" x14ac:dyDescent="0.35">
      <c r="H293" s="90"/>
      <c r="I293" s="90"/>
    </row>
    <row r="294" spans="8:9" ht="15.75" customHeight="1" x14ac:dyDescent="0.35">
      <c r="H294" s="90"/>
      <c r="I294" s="90"/>
    </row>
    <row r="295" spans="8:9" ht="15.75" customHeight="1" x14ac:dyDescent="0.35">
      <c r="H295" s="90"/>
      <c r="I295" s="90"/>
    </row>
    <row r="296" spans="8:9" ht="15.75" customHeight="1" x14ac:dyDescent="0.35">
      <c r="H296" s="90"/>
      <c r="I296" s="90"/>
    </row>
    <row r="297" spans="8:9" ht="15.75" customHeight="1" x14ac:dyDescent="0.35">
      <c r="H297" s="90"/>
      <c r="I297" s="90"/>
    </row>
    <row r="298" spans="8:9" ht="15.75" customHeight="1" x14ac:dyDescent="0.35">
      <c r="H298" s="90"/>
      <c r="I298" s="90"/>
    </row>
    <row r="299" spans="8:9" ht="15.75" customHeight="1" x14ac:dyDescent="0.35">
      <c r="H299" s="90"/>
      <c r="I299" s="90"/>
    </row>
    <row r="300" spans="8:9" ht="15.75" customHeight="1" x14ac:dyDescent="0.35">
      <c r="H300" s="90"/>
      <c r="I300" s="90"/>
    </row>
    <row r="301" spans="8:9" ht="15.75" customHeight="1" x14ac:dyDescent="0.35">
      <c r="H301" s="90"/>
      <c r="I301" s="90"/>
    </row>
    <row r="302" spans="8:9" ht="15.75" customHeight="1" x14ac:dyDescent="0.35">
      <c r="H302" s="90"/>
      <c r="I302" s="90"/>
    </row>
    <row r="303" spans="8:9" ht="15.75" customHeight="1" x14ac:dyDescent="0.35">
      <c r="H303" s="90"/>
      <c r="I303" s="90"/>
    </row>
    <row r="304" spans="8:9" ht="15.75" customHeight="1" x14ac:dyDescent="0.35">
      <c r="H304" s="90"/>
      <c r="I304" s="90"/>
    </row>
    <row r="305" spans="8:9" ht="15.75" customHeight="1" x14ac:dyDescent="0.35">
      <c r="H305" s="90"/>
      <c r="I305" s="90"/>
    </row>
    <row r="306" spans="8:9" ht="15.75" customHeight="1" x14ac:dyDescent="0.35">
      <c r="H306" s="90"/>
      <c r="I306" s="90"/>
    </row>
    <row r="307" spans="8:9" ht="15.75" customHeight="1" x14ac:dyDescent="0.35">
      <c r="H307" s="90"/>
      <c r="I307" s="90"/>
    </row>
    <row r="308" spans="8:9" ht="15.75" customHeight="1" x14ac:dyDescent="0.35">
      <c r="H308" s="90"/>
      <c r="I308" s="90"/>
    </row>
    <row r="309" spans="8:9" ht="15.75" customHeight="1" x14ac:dyDescent="0.35">
      <c r="H309" s="90"/>
      <c r="I309" s="90"/>
    </row>
    <row r="310" spans="8:9" ht="15.75" customHeight="1" x14ac:dyDescent="0.35">
      <c r="H310" s="90"/>
      <c r="I310" s="90"/>
    </row>
    <row r="311" spans="8:9" ht="15.75" customHeight="1" x14ac:dyDescent="0.35">
      <c r="H311" s="90"/>
      <c r="I311" s="90"/>
    </row>
    <row r="312" spans="8:9" ht="15.75" customHeight="1" x14ac:dyDescent="0.35">
      <c r="H312" s="90"/>
      <c r="I312" s="90"/>
    </row>
    <row r="313" spans="8:9" ht="15.75" customHeight="1" x14ac:dyDescent="0.35">
      <c r="H313" s="90"/>
      <c r="I313" s="90"/>
    </row>
    <row r="314" spans="8:9" ht="15.75" customHeight="1" x14ac:dyDescent="0.35">
      <c r="H314" s="90"/>
      <c r="I314" s="90"/>
    </row>
    <row r="315" spans="8:9" ht="15.75" customHeight="1" x14ac:dyDescent="0.35">
      <c r="H315" s="90"/>
      <c r="I315" s="90"/>
    </row>
    <row r="316" spans="8:9" ht="15.75" customHeight="1" x14ac:dyDescent="0.35">
      <c r="H316" s="90"/>
      <c r="I316" s="90"/>
    </row>
    <row r="317" spans="8:9" ht="15.75" customHeight="1" x14ac:dyDescent="0.35">
      <c r="H317" s="90"/>
      <c r="I317" s="90"/>
    </row>
    <row r="318" spans="8:9" ht="15.75" customHeight="1" x14ac:dyDescent="0.35">
      <c r="H318" s="90"/>
      <c r="I318" s="90"/>
    </row>
    <row r="319" spans="8:9" ht="15.75" customHeight="1" x14ac:dyDescent="0.35">
      <c r="H319" s="90"/>
      <c r="I319" s="90"/>
    </row>
    <row r="320" spans="8:9" ht="15.75" customHeight="1" x14ac:dyDescent="0.35">
      <c r="H320" s="90"/>
      <c r="I320" s="90"/>
    </row>
    <row r="321" spans="8:9" ht="15.75" customHeight="1" x14ac:dyDescent="0.35">
      <c r="H321" s="90"/>
      <c r="I321" s="90"/>
    </row>
    <row r="322" spans="8:9" ht="15.75" customHeight="1" x14ac:dyDescent="0.35">
      <c r="H322" s="90"/>
      <c r="I322" s="90"/>
    </row>
    <row r="323" spans="8:9" ht="15.75" customHeight="1" x14ac:dyDescent="0.35">
      <c r="H323" s="90"/>
      <c r="I323" s="90"/>
    </row>
    <row r="324" spans="8:9" ht="15.75" customHeight="1" x14ac:dyDescent="0.35">
      <c r="H324" s="90"/>
      <c r="I324" s="90"/>
    </row>
    <row r="325" spans="8:9" ht="15.75" customHeight="1" x14ac:dyDescent="0.35">
      <c r="H325" s="90"/>
      <c r="I325" s="90"/>
    </row>
    <row r="326" spans="8:9" ht="15.75" customHeight="1" x14ac:dyDescent="0.35">
      <c r="H326" s="90"/>
      <c r="I326" s="90"/>
    </row>
    <row r="327" spans="8:9" ht="15.75" customHeight="1" x14ac:dyDescent="0.35">
      <c r="H327" s="90"/>
      <c r="I327" s="90"/>
    </row>
    <row r="328" spans="8:9" ht="15.75" customHeight="1" x14ac:dyDescent="0.35">
      <c r="H328" s="90"/>
      <c r="I328" s="90"/>
    </row>
    <row r="329" spans="8:9" ht="15.75" customHeight="1" x14ac:dyDescent="0.35">
      <c r="H329" s="90"/>
      <c r="I329" s="90"/>
    </row>
    <row r="330" spans="8:9" ht="15.75" customHeight="1" x14ac:dyDescent="0.35">
      <c r="H330" s="90"/>
      <c r="I330" s="90"/>
    </row>
    <row r="331" spans="8:9" ht="15.75" customHeight="1" x14ac:dyDescent="0.35">
      <c r="H331" s="90"/>
      <c r="I331" s="90"/>
    </row>
    <row r="332" spans="8:9" ht="15.75" customHeight="1" x14ac:dyDescent="0.35">
      <c r="H332" s="90"/>
      <c r="I332" s="90"/>
    </row>
    <row r="333" spans="8:9" ht="15.75" customHeight="1" x14ac:dyDescent="0.35">
      <c r="H333" s="90"/>
      <c r="I333" s="90"/>
    </row>
    <row r="334" spans="8:9" ht="15.75" customHeight="1" x14ac:dyDescent="0.35">
      <c r="H334" s="90"/>
      <c r="I334" s="90"/>
    </row>
    <row r="335" spans="8:9" ht="15.75" customHeight="1" x14ac:dyDescent="0.35">
      <c r="H335" s="90"/>
      <c r="I335" s="90"/>
    </row>
    <row r="336" spans="8:9" ht="15.75" customHeight="1" x14ac:dyDescent="0.35">
      <c r="H336" s="90"/>
      <c r="I336" s="90"/>
    </row>
    <row r="337" spans="8:9" ht="15.75" customHeight="1" x14ac:dyDescent="0.35">
      <c r="H337" s="90"/>
      <c r="I337" s="90"/>
    </row>
    <row r="338" spans="8:9" ht="15.75" customHeight="1" x14ac:dyDescent="0.35">
      <c r="H338" s="90"/>
      <c r="I338" s="90"/>
    </row>
    <row r="339" spans="8:9" ht="15.75" customHeight="1" x14ac:dyDescent="0.35">
      <c r="H339" s="90"/>
      <c r="I339" s="90"/>
    </row>
    <row r="340" spans="8:9" ht="15.75" customHeight="1" x14ac:dyDescent="0.35">
      <c r="H340" s="90"/>
      <c r="I340" s="90"/>
    </row>
    <row r="341" spans="8:9" ht="15.75" customHeight="1" x14ac:dyDescent="0.35">
      <c r="H341" s="90"/>
      <c r="I341" s="90"/>
    </row>
    <row r="342" spans="8:9" ht="15.75" customHeight="1" x14ac:dyDescent="0.35">
      <c r="H342" s="90"/>
      <c r="I342" s="90"/>
    </row>
    <row r="343" spans="8:9" ht="15.75" customHeight="1" x14ac:dyDescent="0.35">
      <c r="H343" s="90"/>
      <c r="I343" s="90"/>
    </row>
    <row r="344" spans="8:9" ht="15.75" customHeight="1" x14ac:dyDescent="0.35">
      <c r="H344" s="90"/>
      <c r="I344" s="90"/>
    </row>
    <row r="345" spans="8:9" ht="15.75" customHeight="1" x14ac:dyDescent="0.35">
      <c r="H345" s="90"/>
      <c r="I345" s="90"/>
    </row>
    <row r="346" spans="8:9" ht="15.75" customHeight="1" x14ac:dyDescent="0.35">
      <c r="H346" s="90"/>
      <c r="I346" s="90"/>
    </row>
    <row r="347" spans="8:9" ht="15.75" customHeight="1" x14ac:dyDescent="0.35">
      <c r="H347" s="90"/>
      <c r="I347" s="90"/>
    </row>
    <row r="348" spans="8:9" ht="15.75" customHeight="1" x14ac:dyDescent="0.35">
      <c r="H348" s="90"/>
      <c r="I348" s="90"/>
    </row>
    <row r="349" spans="8:9" ht="15.75" customHeight="1" x14ac:dyDescent="0.35">
      <c r="H349" s="90"/>
      <c r="I349" s="90"/>
    </row>
    <row r="350" spans="8:9" ht="15.75" customHeight="1" x14ac:dyDescent="0.35">
      <c r="H350" s="90"/>
      <c r="I350" s="90"/>
    </row>
    <row r="351" spans="8:9" ht="15.75" customHeight="1" x14ac:dyDescent="0.35">
      <c r="H351" s="90"/>
      <c r="I351" s="90"/>
    </row>
    <row r="352" spans="8:9" ht="15.75" customHeight="1" x14ac:dyDescent="0.35">
      <c r="H352" s="90"/>
      <c r="I352" s="90"/>
    </row>
    <row r="353" spans="8:9" ht="15.75" customHeight="1" x14ac:dyDescent="0.35">
      <c r="H353" s="90"/>
      <c r="I353" s="90"/>
    </row>
    <row r="354" spans="8:9" ht="15.75" customHeight="1" x14ac:dyDescent="0.35">
      <c r="H354" s="90"/>
      <c r="I354" s="90"/>
    </row>
    <row r="355" spans="8:9" ht="15.75" customHeight="1" x14ac:dyDescent="0.35">
      <c r="H355" s="90"/>
      <c r="I355" s="90"/>
    </row>
    <row r="356" spans="8:9" ht="15.75" customHeight="1" x14ac:dyDescent="0.35">
      <c r="H356" s="90"/>
      <c r="I356" s="90"/>
    </row>
    <row r="357" spans="8:9" ht="15.75" customHeight="1" x14ac:dyDescent="0.35">
      <c r="H357" s="90"/>
      <c r="I357" s="90"/>
    </row>
    <row r="358" spans="8:9" ht="15.75" customHeight="1" x14ac:dyDescent="0.35">
      <c r="H358" s="90"/>
      <c r="I358" s="90"/>
    </row>
    <row r="359" spans="8:9" ht="15.75" customHeight="1" x14ac:dyDescent="0.35">
      <c r="H359" s="90"/>
      <c r="I359" s="90"/>
    </row>
    <row r="360" spans="8:9" ht="15.75" customHeight="1" x14ac:dyDescent="0.35">
      <c r="H360" s="90"/>
      <c r="I360" s="90"/>
    </row>
    <row r="361" spans="8:9" ht="15.75" customHeight="1" x14ac:dyDescent="0.35">
      <c r="H361" s="90"/>
      <c r="I361" s="90"/>
    </row>
    <row r="362" spans="8:9" ht="15.75" customHeight="1" x14ac:dyDescent="0.35">
      <c r="H362" s="90"/>
      <c r="I362" s="90"/>
    </row>
    <row r="363" spans="8:9" ht="15.75" customHeight="1" x14ac:dyDescent="0.35">
      <c r="H363" s="90"/>
      <c r="I363" s="90"/>
    </row>
    <row r="364" spans="8:9" ht="15.75" customHeight="1" x14ac:dyDescent="0.35">
      <c r="H364" s="90"/>
      <c r="I364" s="90"/>
    </row>
    <row r="365" spans="8:9" ht="15.75" customHeight="1" x14ac:dyDescent="0.35">
      <c r="H365" s="90"/>
      <c r="I365" s="90"/>
    </row>
    <row r="366" spans="8:9" ht="15.75" customHeight="1" x14ac:dyDescent="0.35">
      <c r="H366" s="90"/>
      <c r="I366" s="90"/>
    </row>
    <row r="367" spans="8:9" ht="15.75" customHeight="1" x14ac:dyDescent="0.35">
      <c r="H367" s="90"/>
      <c r="I367" s="90"/>
    </row>
    <row r="368" spans="8:9" ht="15.75" customHeight="1" x14ac:dyDescent="0.35">
      <c r="H368" s="90"/>
      <c r="I368" s="90"/>
    </row>
    <row r="369" spans="8:9" ht="15.75" customHeight="1" x14ac:dyDescent="0.35">
      <c r="H369" s="90"/>
      <c r="I369" s="90"/>
    </row>
    <row r="370" spans="8:9" ht="15.75" customHeight="1" x14ac:dyDescent="0.35">
      <c r="H370" s="90"/>
      <c r="I370" s="90"/>
    </row>
    <row r="371" spans="8:9" ht="15.75" customHeight="1" x14ac:dyDescent="0.35">
      <c r="H371" s="90"/>
      <c r="I371" s="90"/>
    </row>
    <row r="372" spans="8:9" ht="15.75" customHeight="1" x14ac:dyDescent="0.35">
      <c r="H372" s="90"/>
      <c r="I372" s="90"/>
    </row>
    <row r="373" spans="8:9" ht="15.75" customHeight="1" x14ac:dyDescent="0.35">
      <c r="H373" s="90"/>
      <c r="I373" s="90"/>
    </row>
    <row r="374" spans="8:9" ht="15.75" customHeight="1" x14ac:dyDescent="0.35">
      <c r="H374" s="90"/>
      <c r="I374" s="90"/>
    </row>
    <row r="375" spans="8:9" ht="15.75" customHeight="1" x14ac:dyDescent="0.35">
      <c r="H375" s="90"/>
      <c r="I375" s="90"/>
    </row>
    <row r="376" spans="8:9" ht="15.75" customHeight="1" x14ac:dyDescent="0.35">
      <c r="H376" s="90"/>
      <c r="I376" s="90"/>
    </row>
    <row r="377" spans="8:9" ht="15.75" customHeight="1" x14ac:dyDescent="0.35">
      <c r="H377" s="90"/>
      <c r="I377" s="90"/>
    </row>
    <row r="378" spans="8:9" ht="15.75" customHeight="1" x14ac:dyDescent="0.35">
      <c r="H378" s="90"/>
      <c r="I378" s="90"/>
    </row>
    <row r="379" spans="8:9" ht="15.75" customHeight="1" x14ac:dyDescent="0.35">
      <c r="H379" s="90"/>
      <c r="I379" s="90"/>
    </row>
    <row r="380" spans="8:9" ht="15.75" customHeight="1" x14ac:dyDescent="0.35">
      <c r="H380" s="90"/>
      <c r="I380" s="90"/>
    </row>
    <row r="381" spans="8:9" ht="15.75" customHeight="1" x14ac:dyDescent="0.35">
      <c r="H381" s="90"/>
      <c r="I381" s="90"/>
    </row>
    <row r="382" spans="8:9" ht="15.75" customHeight="1" x14ac:dyDescent="0.35">
      <c r="H382" s="90"/>
      <c r="I382" s="90"/>
    </row>
    <row r="383" spans="8:9" ht="15.75" customHeight="1" x14ac:dyDescent="0.35">
      <c r="H383" s="90"/>
      <c r="I383" s="90"/>
    </row>
    <row r="384" spans="8:9" ht="15.75" customHeight="1" x14ac:dyDescent="0.35">
      <c r="H384" s="90"/>
      <c r="I384" s="90"/>
    </row>
    <row r="385" spans="8:9" ht="15.75" customHeight="1" x14ac:dyDescent="0.35">
      <c r="H385" s="90"/>
      <c r="I385" s="90"/>
    </row>
    <row r="386" spans="8:9" ht="15.75" customHeight="1" x14ac:dyDescent="0.35">
      <c r="H386" s="90"/>
      <c r="I386" s="90"/>
    </row>
    <row r="387" spans="8:9" ht="15.75" customHeight="1" x14ac:dyDescent="0.35">
      <c r="H387" s="90"/>
      <c r="I387" s="90"/>
    </row>
    <row r="388" spans="8:9" ht="15.75" customHeight="1" x14ac:dyDescent="0.35">
      <c r="H388" s="90"/>
      <c r="I388" s="90"/>
    </row>
    <row r="389" spans="8:9" ht="15.75" customHeight="1" x14ac:dyDescent="0.35">
      <c r="H389" s="90"/>
      <c r="I389" s="90"/>
    </row>
    <row r="390" spans="8:9" ht="15.75" customHeight="1" x14ac:dyDescent="0.35">
      <c r="H390" s="90"/>
      <c r="I390" s="90"/>
    </row>
    <row r="391" spans="8:9" ht="15.75" customHeight="1" x14ac:dyDescent="0.35">
      <c r="H391" s="90"/>
      <c r="I391" s="90"/>
    </row>
    <row r="392" spans="8:9" ht="15.75" customHeight="1" x14ac:dyDescent="0.35">
      <c r="H392" s="90"/>
      <c r="I392" s="90"/>
    </row>
    <row r="393" spans="8:9" ht="15.75" customHeight="1" x14ac:dyDescent="0.35">
      <c r="H393" s="90"/>
      <c r="I393" s="90"/>
    </row>
    <row r="394" spans="8:9" ht="15.75" customHeight="1" x14ac:dyDescent="0.35">
      <c r="H394" s="90"/>
      <c r="I394" s="90"/>
    </row>
    <row r="395" spans="8:9" ht="15.75" customHeight="1" x14ac:dyDescent="0.35">
      <c r="H395" s="90"/>
      <c r="I395" s="90"/>
    </row>
    <row r="396" spans="8:9" ht="15.75" customHeight="1" x14ac:dyDescent="0.35">
      <c r="H396" s="90"/>
      <c r="I396" s="90"/>
    </row>
    <row r="397" spans="8:9" ht="15.75" customHeight="1" x14ac:dyDescent="0.35">
      <c r="H397" s="90"/>
      <c r="I397" s="90"/>
    </row>
    <row r="398" spans="8:9" ht="15.75" customHeight="1" x14ac:dyDescent="0.35">
      <c r="H398" s="90"/>
      <c r="I398" s="90"/>
    </row>
    <row r="399" spans="8:9" ht="15.75" customHeight="1" x14ac:dyDescent="0.35">
      <c r="H399" s="90"/>
      <c r="I399" s="90"/>
    </row>
    <row r="400" spans="8:9" ht="15.75" customHeight="1" x14ac:dyDescent="0.35">
      <c r="H400" s="90"/>
      <c r="I400" s="90"/>
    </row>
    <row r="401" spans="8:9" ht="15.75" customHeight="1" x14ac:dyDescent="0.35">
      <c r="H401" s="90"/>
      <c r="I401" s="90"/>
    </row>
    <row r="402" spans="8:9" ht="15.75" customHeight="1" x14ac:dyDescent="0.35">
      <c r="H402" s="90"/>
      <c r="I402" s="90"/>
    </row>
    <row r="403" spans="8:9" ht="15.75" customHeight="1" x14ac:dyDescent="0.35">
      <c r="H403" s="90"/>
      <c r="I403" s="90"/>
    </row>
    <row r="404" spans="8:9" ht="15.75" customHeight="1" x14ac:dyDescent="0.35">
      <c r="H404" s="90"/>
      <c r="I404" s="90"/>
    </row>
    <row r="405" spans="8:9" ht="15.75" customHeight="1" x14ac:dyDescent="0.35">
      <c r="H405" s="90"/>
      <c r="I405" s="90"/>
    </row>
    <row r="406" spans="8:9" ht="15.75" customHeight="1" x14ac:dyDescent="0.35">
      <c r="H406" s="90"/>
      <c r="I406" s="90"/>
    </row>
    <row r="407" spans="8:9" ht="15.75" customHeight="1" x14ac:dyDescent="0.35">
      <c r="H407" s="90"/>
      <c r="I407" s="90"/>
    </row>
    <row r="408" spans="8:9" ht="15.75" customHeight="1" x14ac:dyDescent="0.35">
      <c r="H408" s="90"/>
      <c r="I408" s="90"/>
    </row>
    <row r="409" spans="8:9" ht="15.75" customHeight="1" x14ac:dyDescent="0.35">
      <c r="H409" s="90"/>
      <c r="I409" s="90"/>
    </row>
    <row r="410" spans="8:9" ht="15.75" customHeight="1" x14ac:dyDescent="0.35">
      <c r="H410" s="90"/>
      <c r="I410" s="90"/>
    </row>
    <row r="411" spans="8:9" ht="15.75" customHeight="1" x14ac:dyDescent="0.35">
      <c r="H411" s="90"/>
      <c r="I411" s="90"/>
    </row>
    <row r="412" spans="8:9" ht="15.75" customHeight="1" x14ac:dyDescent="0.35">
      <c r="H412" s="90"/>
      <c r="I412" s="90"/>
    </row>
    <row r="413" spans="8:9" ht="15.75" customHeight="1" x14ac:dyDescent="0.35">
      <c r="H413" s="90"/>
      <c r="I413" s="90"/>
    </row>
    <row r="414" spans="8:9" ht="15.75" customHeight="1" x14ac:dyDescent="0.35">
      <c r="H414" s="90"/>
      <c r="I414" s="90"/>
    </row>
    <row r="415" spans="8:9" ht="15.75" customHeight="1" x14ac:dyDescent="0.35">
      <c r="H415" s="90"/>
      <c r="I415" s="90"/>
    </row>
    <row r="416" spans="8:9" ht="15.75" customHeight="1" x14ac:dyDescent="0.35">
      <c r="H416" s="90"/>
      <c r="I416" s="90"/>
    </row>
    <row r="417" spans="8:9" ht="15.75" customHeight="1" x14ac:dyDescent="0.35">
      <c r="H417" s="90"/>
      <c r="I417" s="90"/>
    </row>
    <row r="418" spans="8:9" ht="15.75" customHeight="1" x14ac:dyDescent="0.35">
      <c r="H418" s="90"/>
      <c r="I418" s="90"/>
    </row>
    <row r="419" spans="8:9" ht="15.75" customHeight="1" x14ac:dyDescent="0.35">
      <c r="H419" s="90"/>
      <c r="I419" s="90"/>
    </row>
    <row r="420" spans="8:9" ht="15.75" customHeight="1" x14ac:dyDescent="0.35">
      <c r="H420" s="90"/>
      <c r="I420" s="90"/>
    </row>
    <row r="421" spans="8:9" ht="15.75" customHeight="1" x14ac:dyDescent="0.35">
      <c r="H421" s="90"/>
      <c r="I421" s="90"/>
    </row>
    <row r="422" spans="8:9" ht="15.75" customHeight="1" x14ac:dyDescent="0.35">
      <c r="H422" s="90"/>
      <c r="I422" s="90"/>
    </row>
    <row r="423" spans="8:9" ht="15.75" customHeight="1" x14ac:dyDescent="0.35">
      <c r="H423" s="90"/>
      <c r="I423" s="90"/>
    </row>
    <row r="424" spans="8:9" ht="15.75" customHeight="1" x14ac:dyDescent="0.35">
      <c r="H424" s="90"/>
      <c r="I424" s="90"/>
    </row>
    <row r="425" spans="8:9" ht="15.75" customHeight="1" x14ac:dyDescent="0.35">
      <c r="H425" s="90"/>
      <c r="I425" s="90"/>
    </row>
    <row r="426" spans="8:9" ht="15.75" customHeight="1" x14ac:dyDescent="0.35">
      <c r="H426" s="90"/>
      <c r="I426" s="90"/>
    </row>
    <row r="427" spans="8:9" ht="15.75" customHeight="1" x14ac:dyDescent="0.35">
      <c r="H427" s="90"/>
      <c r="I427" s="90"/>
    </row>
    <row r="428" spans="8:9" ht="15.75" customHeight="1" x14ac:dyDescent="0.35">
      <c r="H428" s="90"/>
      <c r="I428" s="90"/>
    </row>
    <row r="429" spans="8:9" ht="15.75" customHeight="1" x14ac:dyDescent="0.35">
      <c r="H429" s="90"/>
      <c r="I429" s="90"/>
    </row>
    <row r="430" spans="8:9" ht="15.75" customHeight="1" x14ac:dyDescent="0.35">
      <c r="H430" s="90"/>
      <c r="I430" s="90"/>
    </row>
    <row r="431" spans="8:9" ht="15.75" customHeight="1" x14ac:dyDescent="0.35">
      <c r="H431" s="90"/>
      <c r="I431" s="90"/>
    </row>
    <row r="432" spans="8:9" ht="15.75" customHeight="1" x14ac:dyDescent="0.35">
      <c r="H432" s="90"/>
      <c r="I432" s="90"/>
    </row>
    <row r="433" spans="8:9" ht="15.75" customHeight="1" x14ac:dyDescent="0.35">
      <c r="H433" s="90"/>
      <c r="I433" s="90"/>
    </row>
    <row r="434" spans="8:9" ht="15.75" customHeight="1" x14ac:dyDescent="0.35">
      <c r="H434" s="90"/>
      <c r="I434" s="90"/>
    </row>
    <row r="435" spans="8:9" ht="15.75" customHeight="1" x14ac:dyDescent="0.35">
      <c r="H435" s="90"/>
      <c r="I435" s="90"/>
    </row>
    <row r="436" spans="8:9" ht="15.75" customHeight="1" x14ac:dyDescent="0.35">
      <c r="H436" s="90"/>
      <c r="I436" s="90"/>
    </row>
    <row r="437" spans="8:9" ht="15.75" customHeight="1" x14ac:dyDescent="0.35">
      <c r="H437" s="90"/>
      <c r="I437" s="90"/>
    </row>
    <row r="438" spans="8:9" ht="15.75" customHeight="1" x14ac:dyDescent="0.35">
      <c r="H438" s="90"/>
      <c r="I438" s="90"/>
    </row>
    <row r="439" spans="8:9" ht="15.75" customHeight="1" x14ac:dyDescent="0.35">
      <c r="H439" s="90"/>
      <c r="I439" s="90"/>
    </row>
    <row r="440" spans="8:9" ht="15.75" customHeight="1" x14ac:dyDescent="0.35">
      <c r="H440" s="90"/>
      <c r="I440" s="90"/>
    </row>
    <row r="441" spans="8:9" ht="15.75" customHeight="1" x14ac:dyDescent="0.35">
      <c r="H441" s="90"/>
      <c r="I441" s="90"/>
    </row>
    <row r="442" spans="8:9" ht="15.75" customHeight="1" x14ac:dyDescent="0.35">
      <c r="H442" s="90"/>
      <c r="I442" s="90"/>
    </row>
    <row r="443" spans="8:9" ht="15.75" customHeight="1" x14ac:dyDescent="0.35">
      <c r="H443" s="90"/>
      <c r="I443" s="90"/>
    </row>
    <row r="444" spans="8:9" ht="15.75" customHeight="1" x14ac:dyDescent="0.35">
      <c r="H444" s="90"/>
      <c r="I444" s="90"/>
    </row>
    <row r="445" spans="8:9" ht="15.75" customHeight="1" x14ac:dyDescent="0.35">
      <c r="H445" s="90"/>
      <c r="I445" s="90"/>
    </row>
    <row r="446" spans="8:9" ht="15.75" customHeight="1" x14ac:dyDescent="0.35">
      <c r="H446" s="90"/>
      <c r="I446" s="90"/>
    </row>
    <row r="447" spans="8:9" ht="15.75" customHeight="1" x14ac:dyDescent="0.35">
      <c r="H447" s="90"/>
      <c r="I447" s="90"/>
    </row>
    <row r="448" spans="8:9" ht="15.75" customHeight="1" x14ac:dyDescent="0.35">
      <c r="H448" s="90"/>
      <c r="I448" s="90"/>
    </row>
    <row r="449" spans="8:9" ht="15.75" customHeight="1" x14ac:dyDescent="0.35">
      <c r="H449" s="90"/>
      <c r="I449" s="90"/>
    </row>
    <row r="450" spans="8:9" ht="15.75" customHeight="1" x14ac:dyDescent="0.35">
      <c r="H450" s="90"/>
      <c r="I450" s="90"/>
    </row>
    <row r="451" spans="8:9" ht="15.75" customHeight="1" x14ac:dyDescent="0.35">
      <c r="H451" s="90"/>
      <c r="I451" s="90"/>
    </row>
    <row r="452" spans="8:9" ht="15.75" customHeight="1" x14ac:dyDescent="0.35">
      <c r="H452" s="90"/>
      <c r="I452" s="90"/>
    </row>
    <row r="453" spans="8:9" ht="15.75" customHeight="1" x14ac:dyDescent="0.35">
      <c r="H453" s="90"/>
      <c r="I453" s="90"/>
    </row>
    <row r="454" spans="8:9" ht="15.75" customHeight="1" x14ac:dyDescent="0.35">
      <c r="H454" s="90"/>
      <c r="I454" s="90"/>
    </row>
    <row r="455" spans="8:9" ht="15.75" customHeight="1" x14ac:dyDescent="0.35">
      <c r="H455" s="90"/>
      <c r="I455" s="90"/>
    </row>
    <row r="456" spans="8:9" ht="15.75" customHeight="1" x14ac:dyDescent="0.35">
      <c r="H456" s="90"/>
      <c r="I456" s="90"/>
    </row>
    <row r="457" spans="8:9" ht="15.75" customHeight="1" x14ac:dyDescent="0.35">
      <c r="H457" s="90"/>
      <c r="I457" s="90"/>
    </row>
    <row r="458" spans="8:9" ht="15.75" customHeight="1" x14ac:dyDescent="0.35">
      <c r="H458" s="90"/>
      <c r="I458" s="90"/>
    </row>
    <row r="459" spans="8:9" ht="15.75" customHeight="1" x14ac:dyDescent="0.35">
      <c r="H459" s="90"/>
      <c r="I459" s="90"/>
    </row>
    <row r="460" spans="8:9" ht="15.75" customHeight="1" x14ac:dyDescent="0.35">
      <c r="H460" s="90"/>
      <c r="I460" s="90"/>
    </row>
    <row r="461" spans="8:9" ht="15.75" customHeight="1" x14ac:dyDescent="0.35">
      <c r="H461" s="90"/>
      <c r="I461" s="90"/>
    </row>
    <row r="462" spans="8:9" ht="15.75" customHeight="1" x14ac:dyDescent="0.35">
      <c r="H462" s="90"/>
      <c r="I462" s="90"/>
    </row>
    <row r="463" spans="8:9" ht="15.75" customHeight="1" x14ac:dyDescent="0.35">
      <c r="H463" s="90"/>
      <c r="I463" s="90"/>
    </row>
    <row r="464" spans="8:9" ht="15.75" customHeight="1" x14ac:dyDescent="0.35">
      <c r="H464" s="90"/>
      <c r="I464" s="90"/>
    </row>
    <row r="465" spans="8:9" ht="15.75" customHeight="1" x14ac:dyDescent="0.35">
      <c r="H465" s="90"/>
      <c r="I465" s="90"/>
    </row>
    <row r="466" spans="8:9" ht="15.75" customHeight="1" x14ac:dyDescent="0.35">
      <c r="H466" s="90"/>
      <c r="I466" s="90"/>
    </row>
    <row r="467" spans="8:9" ht="15.75" customHeight="1" x14ac:dyDescent="0.35">
      <c r="H467" s="90"/>
      <c r="I467" s="90"/>
    </row>
    <row r="468" spans="8:9" ht="15.75" customHeight="1" x14ac:dyDescent="0.35">
      <c r="H468" s="90"/>
      <c r="I468" s="90"/>
    </row>
    <row r="469" spans="8:9" ht="15.75" customHeight="1" x14ac:dyDescent="0.35">
      <c r="H469" s="90"/>
      <c r="I469" s="90"/>
    </row>
    <row r="470" spans="8:9" ht="15.75" customHeight="1" x14ac:dyDescent="0.35">
      <c r="H470" s="90"/>
      <c r="I470" s="90"/>
    </row>
    <row r="471" spans="8:9" ht="15.75" customHeight="1" x14ac:dyDescent="0.35">
      <c r="H471" s="90"/>
      <c r="I471" s="90"/>
    </row>
    <row r="472" spans="8:9" ht="15.75" customHeight="1" x14ac:dyDescent="0.35">
      <c r="H472" s="90"/>
      <c r="I472" s="90"/>
    </row>
    <row r="473" spans="8:9" ht="15.75" customHeight="1" x14ac:dyDescent="0.35">
      <c r="H473" s="90"/>
      <c r="I473" s="90"/>
    </row>
    <row r="474" spans="8:9" ht="15.75" customHeight="1" x14ac:dyDescent="0.35">
      <c r="H474" s="90"/>
      <c r="I474" s="90"/>
    </row>
    <row r="475" spans="8:9" ht="15.75" customHeight="1" x14ac:dyDescent="0.35">
      <c r="H475" s="90"/>
      <c r="I475" s="90"/>
    </row>
    <row r="476" spans="8:9" ht="15.75" customHeight="1" x14ac:dyDescent="0.35">
      <c r="H476" s="90"/>
      <c r="I476" s="90"/>
    </row>
    <row r="477" spans="8:9" ht="15.75" customHeight="1" x14ac:dyDescent="0.35">
      <c r="H477" s="90"/>
      <c r="I477" s="90"/>
    </row>
    <row r="478" spans="8:9" ht="15.75" customHeight="1" x14ac:dyDescent="0.35">
      <c r="H478" s="90"/>
      <c r="I478" s="90"/>
    </row>
    <row r="479" spans="8:9" ht="15.75" customHeight="1" x14ac:dyDescent="0.35">
      <c r="H479" s="90"/>
      <c r="I479" s="90"/>
    </row>
    <row r="480" spans="8:9" ht="15.75" customHeight="1" x14ac:dyDescent="0.35">
      <c r="H480" s="90"/>
      <c r="I480" s="90"/>
    </row>
    <row r="481" spans="8:9" ht="15.75" customHeight="1" x14ac:dyDescent="0.35">
      <c r="H481" s="90"/>
      <c r="I481" s="90"/>
    </row>
    <row r="482" spans="8:9" ht="15.75" customHeight="1" x14ac:dyDescent="0.35">
      <c r="H482" s="90"/>
      <c r="I482" s="90"/>
    </row>
    <row r="483" spans="8:9" ht="15.75" customHeight="1" x14ac:dyDescent="0.35">
      <c r="H483" s="90"/>
      <c r="I483" s="90"/>
    </row>
    <row r="484" spans="8:9" ht="15.75" customHeight="1" x14ac:dyDescent="0.35">
      <c r="H484" s="90"/>
      <c r="I484" s="90"/>
    </row>
    <row r="485" spans="8:9" ht="15.75" customHeight="1" x14ac:dyDescent="0.35">
      <c r="H485" s="90"/>
      <c r="I485" s="90"/>
    </row>
    <row r="486" spans="8:9" ht="15.75" customHeight="1" x14ac:dyDescent="0.35">
      <c r="H486" s="90"/>
      <c r="I486" s="90"/>
    </row>
    <row r="487" spans="8:9" ht="15.75" customHeight="1" x14ac:dyDescent="0.35">
      <c r="H487" s="90"/>
      <c r="I487" s="90"/>
    </row>
    <row r="488" spans="8:9" ht="15.75" customHeight="1" x14ac:dyDescent="0.35">
      <c r="H488" s="90"/>
      <c r="I488" s="90"/>
    </row>
    <row r="489" spans="8:9" ht="15.75" customHeight="1" x14ac:dyDescent="0.35">
      <c r="H489" s="90"/>
      <c r="I489" s="90"/>
    </row>
    <row r="490" spans="8:9" ht="15.75" customHeight="1" x14ac:dyDescent="0.35">
      <c r="H490" s="90"/>
      <c r="I490" s="90"/>
    </row>
    <row r="491" spans="8:9" ht="15.75" customHeight="1" x14ac:dyDescent="0.35">
      <c r="H491" s="90"/>
      <c r="I491" s="90"/>
    </row>
    <row r="492" spans="8:9" ht="15.75" customHeight="1" x14ac:dyDescent="0.35">
      <c r="H492" s="90"/>
      <c r="I492" s="90"/>
    </row>
    <row r="493" spans="8:9" ht="15.75" customHeight="1" x14ac:dyDescent="0.35">
      <c r="H493" s="90"/>
      <c r="I493" s="90"/>
    </row>
    <row r="494" spans="8:9" ht="15.75" customHeight="1" x14ac:dyDescent="0.35">
      <c r="H494" s="90"/>
      <c r="I494" s="90"/>
    </row>
    <row r="495" spans="8:9" ht="15.75" customHeight="1" x14ac:dyDescent="0.35">
      <c r="H495" s="90"/>
      <c r="I495" s="90"/>
    </row>
    <row r="496" spans="8:9" ht="15.75" customHeight="1" x14ac:dyDescent="0.35">
      <c r="H496" s="90"/>
      <c r="I496" s="90"/>
    </row>
    <row r="497" spans="8:9" ht="15.75" customHeight="1" x14ac:dyDescent="0.35">
      <c r="H497" s="90"/>
      <c r="I497" s="90"/>
    </row>
    <row r="498" spans="8:9" ht="15.75" customHeight="1" x14ac:dyDescent="0.35">
      <c r="H498" s="90"/>
      <c r="I498" s="90"/>
    </row>
    <row r="499" spans="8:9" ht="15.75" customHeight="1" x14ac:dyDescent="0.35">
      <c r="H499" s="90"/>
      <c r="I499" s="90"/>
    </row>
    <row r="500" spans="8:9" ht="15.75" customHeight="1" x14ac:dyDescent="0.35">
      <c r="H500" s="90"/>
      <c r="I500" s="90"/>
    </row>
    <row r="501" spans="8:9" ht="15.75" customHeight="1" x14ac:dyDescent="0.35">
      <c r="H501" s="90"/>
      <c r="I501" s="90"/>
    </row>
    <row r="502" spans="8:9" ht="15.75" customHeight="1" x14ac:dyDescent="0.35">
      <c r="H502" s="90"/>
      <c r="I502" s="90"/>
    </row>
    <row r="503" spans="8:9" ht="15.75" customHeight="1" x14ac:dyDescent="0.35">
      <c r="H503" s="90"/>
      <c r="I503" s="90"/>
    </row>
    <row r="504" spans="8:9" ht="15.75" customHeight="1" x14ac:dyDescent="0.35">
      <c r="H504" s="90"/>
      <c r="I504" s="90"/>
    </row>
    <row r="505" spans="8:9" ht="15.75" customHeight="1" x14ac:dyDescent="0.35">
      <c r="H505" s="90"/>
      <c r="I505" s="90"/>
    </row>
    <row r="506" spans="8:9" ht="15.75" customHeight="1" x14ac:dyDescent="0.35">
      <c r="H506" s="90"/>
      <c r="I506" s="90"/>
    </row>
    <row r="507" spans="8:9" ht="15.75" customHeight="1" x14ac:dyDescent="0.35">
      <c r="H507" s="90"/>
      <c r="I507" s="90"/>
    </row>
    <row r="508" spans="8:9" ht="15.75" customHeight="1" x14ac:dyDescent="0.35">
      <c r="H508" s="90"/>
      <c r="I508" s="90"/>
    </row>
    <row r="509" spans="8:9" ht="15.75" customHeight="1" x14ac:dyDescent="0.35">
      <c r="H509" s="90"/>
      <c r="I509" s="90"/>
    </row>
    <row r="510" spans="8:9" ht="15.75" customHeight="1" x14ac:dyDescent="0.35">
      <c r="H510" s="90"/>
      <c r="I510" s="90"/>
    </row>
    <row r="511" spans="8:9" ht="15.75" customHeight="1" x14ac:dyDescent="0.35">
      <c r="H511" s="90"/>
      <c r="I511" s="90"/>
    </row>
    <row r="512" spans="8:9" ht="15.75" customHeight="1" x14ac:dyDescent="0.35">
      <c r="H512" s="90"/>
      <c r="I512" s="90"/>
    </row>
    <row r="513" spans="8:9" ht="15.75" customHeight="1" x14ac:dyDescent="0.35">
      <c r="H513" s="90"/>
      <c r="I513" s="90"/>
    </row>
    <row r="514" spans="8:9" ht="15.75" customHeight="1" x14ac:dyDescent="0.35">
      <c r="H514" s="90"/>
      <c r="I514" s="90"/>
    </row>
    <row r="515" spans="8:9" ht="15.75" customHeight="1" x14ac:dyDescent="0.35">
      <c r="H515" s="90"/>
      <c r="I515" s="90"/>
    </row>
    <row r="516" spans="8:9" ht="15.75" customHeight="1" x14ac:dyDescent="0.35">
      <c r="H516" s="90"/>
      <c r="I516" s="90"/>
    </row>
    <row r="517" spans="8:9" ht="15.75" customHeight="1" x14ac:dyDescent="0.35">
      <c r="H517" s="90"/>
      <c r="I517" s="90"/>
    </row>
    <row r="518" spans="8:9" ht="15.75" customHeight="1" x14ac:dyDescent="0.35">
      <c r="H518" s="90"/>
      <c r="I518" s="90"/>
    </row>
    <row r="519" spans="8:9" ht="15.75" customHeight="1" x14ac:dyDescent="0.35">
      <c r="H519" s="90"/>
      <c r="I519" s="90"/>
    </row>
    <row r="520" spans="8:9" ht="15.75" customHeight="1" x14ac:dyDescent="0.35">
      <c r="H520" s="90"/>
      <c r="I520" s="90"/>
    </row>
    <row r="521" spans="8:9" ht="15.75" customHeight="1" x14ac:dyDescent="0.35">
      <c r="H521" s="90"/>
      <c r="I521" s="90"/>
    </row>
    <row r="522" spans="8:9" ht="15.75" customHeight="1" x14ac:dyDescent="0.35">
      <c r="H522" s="90"/>
      <c r="I522" s="90"/>
    </row>
    <row r="523" spans="8:9" ht="15.75" customHeight="1" x14ac:dyDescent="0.35">
      <c r="H523" s="90"/>
      <c r="I523" s="90"/>
    </row>
    <row r="524" spans="8:9" ht="15.75" customHeight="1" x14ac:dyDescent="0.35">
      <c r="H524" s="90"/>
      <c r="I524" s="90"/>
    </row>
    <row r="525" spans="8:9" ht="15.75" customHeight="1" x14ac:dyDescent="0.35">
      <c r="H525" s="90"/>
      <c r="I525" s="90"/>
    </row>
    <row r="526" spans="8:9" ht="15.75" customHeight="1" x14ac:dyDescent="0.35">
      <c r="H526" s="90"/>
      <c r="I526" s="90"/>
    </row>
    <row r="527" spans="8:9" ht="15.75" customHeight="1" x14ac:dyDescent="0.35">
      <c r="H527" s="90"/>
      <c r="I527" s="90"/>
    </row>
    <row r="528" spans="8:9" ht="15.75" customHeight="1" x14ac:dyDescent="0.35">
      <c r="H528" s="90"/>
      <c r="I528" s="90"/>
    </row>
    <row r="529" spans="8:9" ht="15.75" customHeight="1" x14ac:dyDescent="0.35">
      <c r="H529" s="90"/>
      <c r="I529" s="90"/>
    </row>
    <row r="530" spans="8:9" ht="15.75" customHeight="1" x14ac:dyDescent="0.35">
      <c r="H530" s="90"/>
      <c r="I530" s="90"/>
    </row>
    <row r="531" spans="8:9" ht="15.75" customHeight="1" x14ac:dyDescent="0.35">
      <c r="H531" s="90"/>
      <c r="I531" s="90"/>
    </row>
    <row r="532" spans="8:9" ht="15.75" customHeight="1" x14ac:dyDescent="0.35">
      <c r="H532" s="90"/>
      <c r="I532" s="90"/>
    </row>
    <row r="533" spans="8:9" ht="15.75" customHeight="1" x14ac:dyDescent="0.35">
      <c r="H533" s="90"/>
      <c r="I533" s="90"/>
    </row>
    <row r="534" spans="8:9" ht="15.75" customHeight="1" x14ac:dyDescent="0.35">
      <c r="H534" s="90"/>
      <c r="I534" s="90"/>
    </row>
    <row r="535" spans="8:9" ht="15.75" customHeight="1" x14ac:dyDescent="0.35">
      <c r="H535" s="90"/>
      <c r="I535" s="90"/>
    </row>
    <row r="536" spans="8:9" ht="15.75" customHeight="1" x14ac:dyDescent="0.35">
      <c r="H536" s="90"/>
      <c r="I536" s="90"/>
    </row>
    <row r="537" spans="8:9" ht="15.75" customHeight="1" x14ac:dyDescent="0.35">
      <c r="H537" s="90"/>
      <c r="I537" s="90"/>
    </row>
    <row r="538" spans="8:9" ht="15.75" customHeight="1" x14ac:dyDescent="0.35">
      <c r="H538" s="90"/>
      <c r="I538" s="90"/>
    </row>
    <row r="539" spans="8:9" ht="15.75" customHeight="1" x14ac:dyDescent="0.35">
      <c r="H539" s="90"/>
      <c r="I539" s="90"/>
    </row>
    <row r="540" spans="8:9" ht="15.75" customHeight="1" x14ac:dyDescent="0.35">
      <c r="H540" s="90"/>
      <c r="I540" s="90"/>
    </row>
    <row r="541" spans="8:9" ht="15.75" customHeight="1" x14ac:dyDescent="0.35">
      <c r="H541" s="90"/>
      <c r="I541" s="90"/>
    </row>
    <row r="542" spans="8:9" ht="15.75" customHeight="1" x14ac:dyDescent="0.35">
      <c r="H542" s="90"/>
      <c r="I542" s="90"/>
    </row>
    <row r="543" spans="8:9" ht="15.75" customHeight="1" x14ac:dyDescent="0.35">
      <c r="H543" s="90"/>
      <c r="I543" s="90"/>
    </row>
    <row r="544" spans="8:9" ht="15.75" customHeight="1" x14ac:dyDescent="0.35">
      <c r="H544" s="90"/>
      <c r="I544" s="90"/>
    </row>
    <row r="545" spans="8:9" ht="15.75" customHeight="1" x14ac:dyDescent="0.35">
      <c r="H545" s="90"/>
      <c r="I545" s="90"/>
    </row>
    <row r="546" spans="8:9" ht="15.75" customHeight="1" x14ac:dyDescent="0.35">
      <c r="H546" s="90"/>
      <c r="I546" s="90"/>
    </row>
    <row r="547" spans="8:9" ht="15.75" customHeight="1" x14ac:dyDescent="0.35">
      <c r="H547" s="90"/>
      <c r="I547" s="90"/>
    </row>
    <row r="548" spans="8:9" ht="15.75" customHeight="1" x14ac:dyDescent="0.35">
      <c r="H548" s="90"/>
      <c r="I548" s="90"/>
    </row>
    <row r="549" spans="8:9" ht="15.75" customHeight="1" x14ac:dyDescent="0.35">
      <c r="H549" s="90"/>
      <c r="I549" s="90"/>
    </row>
    <row r="550" spans="8:9" ht="15.75" customHeight="1" x14ac:dyDescent="0.35">
      <c r="H550" s="90"/>
      <c r="I550" s="90"/>
    </row>
    <row r="551" spans="8:9" ht="15.75" customHeight="1" x14ac:dyDescent="0.35">
      <c r="H551" s="90"/>
      <c r="I551" s="90"/>
    </row>
    <row r="552" spans="8:9" ht="15.75" customHeight="1" x14ac:dyDescent="0.35">
      <c r="H552" s="90"/>
      <c r="I552" s="90"/>
    </row>
    <row r="553" spans="8:9" ht="15.75" customHeight="1" x14ac:dyDescent="0.35">
      <c r="H553" s="90"/>
      <c r="I553" s="90"/>
    </row>
    <row r="554" spans="8:9" ht="15.75" customHeight="1" x14ac:dyDescent="0.35">
      <c r="H554" s="90"/>
      <c r="I554" s="90"/>
    </row>
    <row r="555" spans="8:9" ht="15.75" customHeight="1" x14ac:dyDescent="0.35">
      <c r="H555" s="90"/>
      <c r="I555" s="90"/>
    </row>
    <row r="556" spans="8:9" ht="15.75" customHeight="1" x14ac:dyDescent="0.35">
      <c r="H556" s="90"/>
      <c r="I556" s="90"/>
    </row>
    <row r="557" spans="8:9" ht="15.75" customHeight="1" x14ac:dyDescent="0.35">
      <c r="H557" s="90"/>
      <c r="I557" s="90"/>
    </row>
    <row r="558" spans="8:9" ht="15.75" customHeight="1" x14ac:dyDescent="0.35">
      <c r="H558" s="90"/>
      <c r="I558" s="90"/>
    </row>
    <row r="559" spans="8:9" ht="15.75" customHeight="1" x14ac:dyDescent="0.35">
      <c r="H559" s="90"/>
      <c r="I559" s="90"/>
    </row>
    <row r="560" spans="8:9" ht="15.75" customHeight="1" x14ac:dyDescent="0.35">
      <c r="H560" s="90"/>
      <c r="I560" s="90"/>
    </row>
    <row r="561" spans="8:9" ht="15.75" customHeight="1" x14ac:dyDescent="0.35">
      <c r="H561" s="90"/>
      <c r="I561" s="90"/>
    </row>
    <row r="562" spans="8:9" ht="15.75" customHeight="1" x14ac:dyDescent="0.35">
      <c r="H562" s="90"/>
      <c r="I562" s="90"/>
    </row>
    <row r="563" spans="8:9" ht="15.75" customHeight="1" x14ac:dyDescent="0.35">
      <c r="H563" s="90"/>
      <c r="I563" s="90"/>
    </row>
    <row r="564" spans="8:9" ht="15.75" customHeight="1" x14ac:dyDescent="0.35">
      <c r="H564" s="90"/>
      <c r="I564" s="90"/>
    </row>
    <row r="565" spans="8:9" ht="15.75" customHeight="1" x14ac:dyDescent="0.35">
      <c r="H565" s="90"/>
      <c r="I565" s="90"/>
    </row>
    <row r="566" spans="8:9" ht="15.75" customHeight="1" x14ac:dyDescent="0.35">
      <c r="H566" s="90"/>
      <c r="I566" s="90"/>
    </row>
    <row r="567" spans="8:9" ht="15.75" customHeight="1" x14ac:dyDescent="0.35">
      <c r="H567" s="90"/>
      <c r="I567" s="90"/>
    </row>
    <row r="568" spans="8:9" ht="15.75" customHeight="1" x14ac:dyDescent="0.35">
      <c r="H568" s="90"/>
      <c r="I568" s="90"/>
    </row>
    <row r="569" spans="8:9" ht="15.75" customHeight="1" x14ac:dyDescent="0.35">
      <c r="H569" s="90"/>
      <c r="I569" s="90"/>
    </row>
    <row r="570" spans="8:9" ht="15.75" customHeight="1" x14ac:dyDescent="0.35">
      <c r="H570" s="90"/>
      <c r="I570" s="90"/>
    </row>
    <row r="571" spans="8:9" ht="15.75" customHeight="1" x14ac:dyDescent="0.35">
      <c r="H571" s="90"/>
      <c r="I571" s="90"/>
    </row>
    <row r="572" spans="8:9" ht="15.75" customHeight="1" x14ac:dyDescent="0.35">
      <c r="H572" s="90"/>
      <c r="I572" s="90"/>
    </row>
    <row r="573" spans="8:9" ht="15.75" customHeight="1" x14ac:dyDescent="0.35">
      <c r="H573" s="90"/>
      <c r="I573" s="90"/>
    </row>
    <row r="574" spans="8:9" ht="15.75" customHeight="1" x14ac:dyDescent="0.35">
      <c r="H574" s="90"/>
      <c r="I574" s="90"/>
    </row>
    <row r="575" spans="8:9" ht="15.75" customHeight="1" x14ac:dyDescent="0.35">
      <c r="H575" s="90"/>
      <c r="I575" s="90"/>
    </row>
    <row r="576" spans="8:9" ht="15.75" customHeight="1" x14ac:dyDescent="0.35">
      <c r="H576" s="90"/>
      <c r="I576" s="90"/>
    </row>
    <row r="577" spans="8:9" ht="15.75" customHeight="1" x14ac:dyDescent="0.35">
      <c r="H577" s="90"/>
      <c r="I577" s="90"/>
    </row>
    <row r="578" spans="8:9" ht="15.75" customHeight="1" x14ac:dyDescent="0.35">
      <c r="H578" s="90"/>
      <c r="I578" s="90"/>
    </row>
    <row r="579" spans="8:9" ht="15.75" customHeight="1" x14ac:dyDescent="0.35">
      <c r="H579" s="90"/>
      <c r="I579" s="90"/>
    </row>
    <row r="580" spans="8:9" ht="15.75" customHeight="1" x14ac:dyDescent="0.35">
      <c r="H580" s="90"/>
      <c r="I580" s="90"/>
    </row>
    <row r="581" spans="8:9" ht="15.75" customHeight="1" x14ac:dyDescent="0.35">
      <c r="H581" s="90"/>
      <c r="I581" s="90"/>
    </row>
    <row r="582" spans="8:9" ht="15.75" customHeight="1" x14ac:dyDescent="0.35">
      <c r="H582" s="90"/>
      <c r="I582" s="90"/>
    </row>
    <row r="583" spans="8:9" ht="15.75" customHeight="1" x14ac:dyDescent="0.35">
      <c r="H583" s="90"/>
      <c r="I583" s="90"/>
    </row>
    <row r="584" spans="8:9" ht="15.75" customHeight="1" x14ac:dyDescent="0.35">
      <c r="H584" s="90"/>
      <c r="I584" s="90"/>
    </row>
    <row r="585" spans="8:9" ht="15.75" customHeight="1" x14ac:dyDescent="0.35">
      <c r="H585" s="90"/>
      <c r="I585" s="90"/>
    </row>
    <row r="586" spans="8:9" ht="15.75" customHeight="1" x14ac:dyDescent="0.35">
      <c r="H586" s="90"/>
      <c r="I586" s="90"/>
    </row>
    <row r="587" spans="8:9" ht="15.75" customHeight="1" x14ac:dyDescent="0.35">
      <c r="H587" s="90"/>
      <c r="I587" s="90"/>
    </row>
    <row r="588" spans="8:9" ht="15.75" customHeight="1" x14ac:dyDescent="0.35">
      <c r="H588" s="90"/>
      <c r="I588" s="90"/>
    </row>
    <row r="589" spans="8:9" ht="15.75" customHeight="1" x14ac:dyDescent="0.35">
      <c r="H589" s="90"/>
      <c r="I589" s="90"/>
    </row>
    <row r="590" spans="8:9" ht="15.75" customHeight="1" x14ac:dyDescent="0.35">
      <c r="H590" s="90"/>
      <c r="I590" s="90"/>
    </row>
    <row r="591" spans="8:9" ht="15.75" customHeight="1" x14ac:dyDescent="0.35">
      <c r="H591" s="90"/>
      <c r="I591" s="90"/>
    </row>
    <row r="592" spans="8:9" ht="15.75" customHeight="1" x14ac:dyDescent="0.35">
      <c r="H592" s="90"/>
      <c r="I592" s="90"/>
    </row>
    <row r="593" spans="8:9" ht="15.75" customHeight="1" x14ac:dyDescent="0.35">
      <c r="H593" s="90"/>
      <c r="I593" s="90"/>
    </row>
    <row r="594" spans="8:9" ht="15.75" customHeight="1" x14ac:dyDescent="0.35">
      <c r="H594" s="90"/>
      <c r="I594" s="90"/>
    </row>
    <row r="595" spans="8:9" ht="15.75" customHeight="1" x14ac:dyDescent="0.35">
      <c r="H595" s="90"/>
      <c r="I595" s="90"/>
    </row>
    <row r="596" spans="8:9" ht="15.75" customHeight="1" x14ac:dyDescent="0.35">
      <c r="H596" s="90"/>
      <c r="I596" s="90"/>
    </row>
    <row r="597" spans="8:9" ht="15.75" customHeight="1" x14ac:dyDescent="0.35">
      <c r="H597" s="90"/>
      <c r="I597" s="90"/>
    </row>
    <row r="598" spans="8:9" ht="15.75" customHeight="1" x14ac:dyDescent="0.35">
      <c r="H598" s="90"/>
      <c r="I598" s="90"/>
    </row>
    <row r="599" spans="8:9" ht="15.75" customHeight="1" x14ac:dyDescent="0.35">
      <c r="H599" s="90"/>
      <c r="I599" s="90"/>
    </row>
    <row r="600" spans="8:9" ht="15.75" customHeight="1" x14ac:dyDescent="0.35">
      <c r="H600" s="90"/>
      <c r="I600" s="90"/>
    </row>
    <row r="601" spans="8:9" ht="15.75" customHeight="1" x14ac:dyDescent="0.35">
      <c r="H601" s="90"/>
      <c r="I601" s="90"/>
    </row>
    <row r="602" spans="8:9" ht="15.75" customHeight="1" x14ac:dyDescent="0.35">
      <c r="H602" s="90"/>
      <c r="I602" s="90"/>
    </row>
    <row r="603" spans="8:9" ht="15.75" customHeight="1" x14ac:dyDescent="0.35">
      <c r="H603" s="90"/>
      <c r="I603" s="90"/>
    </row>
    <row r="604" spans="8:9" ht="15.75" customHeight="1" x14ac:dyDescent="0.35">
      <c r="H604" s="90"/>
      <c r="I604" s="90"/>
    </row>
    <row r="605" spans="8:9" ht="15.75" customHeight="1" x14ac:dyDescent="0.35">
      <c r="H605" s="90"/>
      <c r="I605" s="90"/>
    </row>
    <row r="606" spans="8:9" ht="15.75" customHeight="1" x14ac:dyDescent="0.35">
      <c r="H606" s="90"/>
      <c r="I606" s="90"/>
    </row>
    <row r="607" spans="8:9" ht="15.75" customHeight="1" x14ac:dyDescent="0.35">
      <c r="H607" s="90"/>
      <c r="I607" s="90"/>
    </row>
    <row r="608" spans="8:9" ht="15.75" customHeight="1" x14ac:dyDescent="0.35">
      <c r="H608" s="90"/>
      <c r="I608" s="90"/>
    </row>
    <row r="609" spans="8:9" ht="15.75" customHeight="1" x14ac:dyDescent="0.35">
      <c r="H609" s="90"/>
      <c r="I609" s="90"/>
    </row>
    <row r="610" spans="8:9" ht="15.75" customHeight="1" x14ac:dyDescent="0.35">
      <c r="H610" s="90"/>
      <c r="I610" s="90"/>
    </row>
    <row r="611" spans="8:9" ht="15.75" customHeight="1" x14ac:dyDescent="0.35">
      <c r="H611" s="90"/>
      <c r="I611" s="90"/>
    </row>
    <row r="612" spans="8:9" ht="15.75" customHeight="1" x14ac:dyDescent="0.35">
      <c r="H612" s="90"/>
      <c r="I612" s="90"/>
    </row>
    <row r="613" spans="8:9" ht="15.75" customHeight="1" x14ac:dyDescent="0.35">
      <c r="H613" s="90"/>
      <c r="I613" s="90"/>
    </row>
    <row r="614" spans="8:9" ht="15.75" customHeight="1" x14ac:dyDescent="0.35">
      <c r="H614" s="90"/>
      <c r="I614" s="90"/>
    </row>
    <row r="615" spans="8:9" ht="15.75" customHeight="1" x14ac:dyDescent="0.35">
      <c r="H615" s="90"/>
      <c r="I615" s="90"/>
    </row>
    <row r="616" spans="8:9" ht="15.75" customHeight="1" x14ac:dyDescent="0.35">
      <c r="H616" s="90"/>
      <c r="I616" s="90"/>
    </row>
    <row r="617" spans="8:9" ht="15.75" customHeight="1" x14ac:dyDescent="0.35">
      <c r="H617" s="90"/>
      <c r="I617" s="90"/>
    </row>
    <row r="618" spans="8:9" ht="15.75" customHeight="1" x14ac:dyDescent="0.35">
      <c r="H618" s="90"/>
      <c r="I618" s="90"/>
    </row>
    <row r="619" spans="8:9" ht="15.75" customHeight="1" x14ac:dyDescent="0.35">
      <c r="H619" s="90"/>
      <c r="I619" s="90"/>
    </row>
    <row r="620" spans="8:9" ht="15.75" customHeight="1" x14ac:dyDescent="0.35">
      <c r="H620" s="90"/>
      <c r="I620" s="90"/>
    </row>
    <row r="621" spans="8:9" ht="15.75" customHeight="1" x14ac:dyDescent="0.35">
      <c r="H621" s="90"/>
      <c r="I621" s="90"/>
    </row>
    <row r="622" spans="8:9" ht="15.75" customHeight="1" x14ac:dyDescent="0.35">
      <c r="H622" s="90"/>
      <c r="I622" s="90"/>
    </row>
    <row r="623" spans="8:9" ht="15.75" customHeight="1" x14ac:dyDescent="0.35">
      <c r="H623" s="90"/>
      <c r="I623" s="90"/>
    </row>
    <row r="624" spans="8:9" ht="15.75" customHeight="1" x14ac:dyDescent="0.35">
      <c r="H624" s="90"/>
      <c r="I624" s="90"/>
    </row>
    <row r="625" spans="8:9" ht="15.75" customHeight="1" x14ac:dyDescent="0.35">
      <c r="H625" s="90"/>
      <c r="I625" s="90"/>
    </row>
    <row r="626" spans="8:9" ht="15.75" customHeight="1" x14ac:dyDescent="0.35">
      <c r="H626" s="90"/>
      <c r="I626" s="90"/>
    </row>
    <row r="627" spans="8:9" ht="15.75" customHeight="1" x14ac:dyDescent="0.35">
      <c r="H627" s="90"/>
      <c r="I627" s="90"/>
    </row>
    <row r="628" spans="8:9" ht="15.75" customHeight="1" x14ac:dyDescent="0.35">
      <c r="H628" s="90"/>
      <c r="I628" s="90"/>
    </row>
    <row r="629" spans="8:9" ht="15.75" customHeight="1" x14ac:dyDescent="0.35">
      <c r="H629" s="90"/>
      <c r="I629" s="90"/>
    </row>
    <row r="630" spans="8:9" ht="15.75" customHeight="1" x14ac:dyDescent="0.35">
      <c r="H630" s="90"/>
      <c r="I630" s="90"/>
    </row>
    <row r="631" spans="8:9" ht="15.75" customHeight="1" x14ac:dyDescent="0.35">
      <c r="H631" s="90"/>
      <c r="I631" s="90"/>
    </row>
    <row r="632" spans="8:9" ht="15.75" customHeight="1" x14ac:dyDescent="0.35">
      <c r="H632" s="90"/>
      <c r="I632" s="90"/>
    </row>
    <row r="633" spans="8:9" ht="15.75" customHeight="1" x14ac:dyDescent="0.35">
      <c r="H633" s="90"/>
      <c r="I633" s="90"/>
    </row>
    <row r="634" spans="8:9" ht="15.75" customHeight="1" x14ac:dyDescent="0.35">
      <c r="H634" s="90"/>
      <c r="I634" s="90"/>
    </row>
    <row r="635" spans="8:9" ht="15.75" customHeight="1" x14ac:dyDescent="0.35">
      <c r="H635" s="90"/>
      <c r="I635" s="90"/>
    </row>
    <row r="636" spans="8:9" ht="15.75" customHeight="1" x14ac:dyDescent="0.35">
      <c r="H636" s="90"/>
      <c r="I636" s="90"/>
    </row>
    <row r="637" spans="8:9" ht="15.75" customHeight="1" x14ac:dyDescent="0.35">
      <c r="H637" s="90"/>
      <c r="I637" s="90"/>
    </row>
    <row r="638" spans="8:9" ht="15.75" customHeight="1" x14ac:dyDescent="0.35">
      <c r="H638" s="90"/>
      <c r="I638" s="90"/>
    </row>
    <row r="639" spans="8:9" ht="15.75" customHeight="1" x14ac:dyDescent="0.35">
      <c r="H639" s="90"/>
      <c r="I639" s="90"/>
    </row>
    <row r="640" spans="8:9" ht="15.75" customHeight="1" x14ac:dyDescent="0.35">
      <c r="H640" s="90"/>
      <c r="I640" s="90"/>
    </row>
    <row r="641" spans="8:9" ht="15.75" customHeight="1" x14ac:dyDescent="0.35">
      <c r="H641" s="90"/>
      <c r="I641" s="90"/>
    </row>
    <row r="642" spans="8:9" ht="15.75" customHeight="1" x14ac:dyDescent="0.35">
      <c r="H642" s="90"/>
      <c r="I642" s="90"/>
    </row>
    <row r="643" spans="8:9" ht="15.75" customHeight="1" x14ac:dyDescent="0.35">
      <c r="H643" s="90"/>
      <c r="I643" s="90"/>
    </row>
    <row r="644" spans="8:9" ht="15.75" customHeight="1" x14ac:dyDescent="0.35">
      <c r="H644" s="90"/>
      <c r="I644" s="90"/>
    </row>
    <row r="645" spans="8:9" ht="15.75" customHeight="1" x14ac:dyDescent="0.35">
      <c r="H645" s="90"/>
      <c r="I645" s="90"/>
    </row>
    <row r="646" spans="8:9" ht="15.75" customHeight="1" x14ac:dyDescent="0.35">
      <c r="H646" s="90"/>
      <c r="I646" s="90"/>
    </row>
    <row r="647" spans="8:9" ht="15.75" customHeight="1" x14ac:dyDescent="0.35">
      <c r="H647" s="90"/>
      <c r="I647" s="90"/>
    </row>
    <row r="648" spans="8:9" ht="15.75" customHeight="1" x14ac:dyDescent="0.35">
      <c r="H648" s="90"/>
      <c r="I648" s="90"/>
    </row>
    <row r="649" spans="8:9" ht="15.75" customHeight="1" x14ac:dyDescent="0.35">
      <c r="H649" s="90"/>
      <c r="I649" s="90"/>
    </row>
    <row r="650" spans="8:9" ht="15.75" customHeight="1" x14ac:dyDescent="0.35">
      <c r="H650" s="90"/>
      <c r="I650" s="90"/>
    </row>
    <row r="651" spans="8:9" ht="15.75" customHeight="1" x14ac:dyDescent="0.35">
      <c r="H651" s="90"/>
      <c r="I651" s="90"/>
    </row>
    <row r="652" spans="8:9" ht="15.75" customHeight="1" x14ac:dyDescent="0.35">
      <c r="H652" s="90"/>
      <c r="I652" s="90"/>
    </row>
    <row r="653" spans="8:9" ht="15.75" customHeight="1" x14ac:dyDescent="0.35">
      <c r="H653" s="90"/>
      <c r="I653" s="90"/>
    </row>
    <row r="654" spans="8:9" ht="15.75" customHeight="1" x14ac:dyDescent="0.35">
      <c r="H654" s="90"/>
      <c r="I654" s="90"/>
    </row>
    <row r="655" spans="8:9" ht="15.75" customHeight="1" x14ac:dyDescent="0.35">
      <c r="H655" s="90"/>
      <c r="I655" s="90"/>
    </row>
    <row r="656" spans="8:9" ht="15.75" customHeight="1" x14ac:dyDescent="0.35">
      <c r="H656" s="90"/>
      <c r="I656" s="90"/>
    </row>
    <row r="657" spans="8:9" ht="15.75" customHeight="1" x14ac:dyDescent="0.35">
      <c r="H657" s="90"/>
      <c r="I657" s="90"/>
    </row>
    <row r="658" spans="8:9" ht="15.75" customHeight="1" x14ac:dyDescent="0.35">
      <c r="H658" s="90"/>
      <c r="I658" s="90"/>
    </row>
    <row r="659" spans="8:9" ht="15.75" customHeight="1" x14ac:dyDescent="0.35">
      <c r="H659" s="90"/>
      <c r="I659" s="90"/>
    </row>
    <row r="660" spans="8:9" ht="15.75" customHeight="1" x14ac:dyDescent="0.35">
      <c r="H660" s="90"/>
      <c r="I660" s="90"/>
    </row>
    <row r="661" spans="8:9" ht="15.75" customHeight="1" x14ac:dyDescent="0.35">
      <c r="H661" s="90"/>
      <c r="I661" s="90"/>
    </row>
    <row r="662" spans="8:9" ht="15.75" customHeight="1" x14ac:dyDescent="0.35">
      <c r="H662" s="90"/>
      <c r="I662" s="90"/>
    </row>
    <row r="663" spans="8:9" ht="15.75" customHeight="1" x14ac:dyDescent="0.35">
      <c r="H663" s="90"/>
      <c r="I663" s="90"/>
    </row>
    <row r="664" spans="8:9" ht="15.75" customHeight="1" x14ac:dyDescent="0.35">
      <c r="H664" s="90"/>
      <c r="I664" s="90"/>
    </row>
    <row r="665" spans="8:9" ht="15.75" customHeight="1" x14ac:dyDescent="0.35">
      <c r="H665" s="90"/>
      <c r="I665" s="90"/>
    </row>
    <row r="666" spans="8:9" ht="15.75" customHeight="1" x14ac:dyDescent="0.35">
      <c r="H666" s="90"/>
      <c r="I666" s="90"/>
    </row>
    <row r="667" spans="8:9" ht="15.75" customHeight="1" x14ac:dyDescent="0.35">
      <c r="H667" s="90"/>
      <c r="I667" s="90"/>
    </row>
    <row r="668" spans="8:9" ht="15.75" customHeight="1" x14ac:dyDescent="0.35">
      <c r="H668" s="90"/>
      <c r="I668" s="90"/>
    </row>
    <row r="669" spans="8:9" ht="15.75" customHeight="1" x14ac:dyDescent="0.35">
      <c r="H669" s="90"/>
      <c r="I669" s="90"/>
    </row>
    <row r="670" spans="8:9" ht="15.75" customHeight="1" x14ac:dyDescent="0.35">
      <c r="H670" s="90"/>
      <c r="I670" s="90"/>
    </row>
    <row r="671" spans="8:9" ht="15.75" customHeight="1" x14ac:dyDescent="0.35">
      <c r="H671" s="90"/>
      <c r="I671" s="90"/>
    </row>
    <row r="672" spans="8:9" ht="15.75" customHeight="1" x14ac:dyDescent="0.35">
      <c r="H672" s="90"/>
      <c r="I672" s="90"/>
    </row>
    <row r="673" spans="8:9" ht="15.75" customHeight="1" x14ac:dyDescent="0.35">
      <c r="H673" s="90"/>
      <c r="I673" s="90"/>
    </row>
    <row r="674" spans="8:9" ht="15.75" customHeight="1" x14ac:dyDescent="0.35">
      <c r="H674" s="90"/>
      <c r="I674" s="90"/>
    </row>
    <row r="675" spans="8:9" ht="15.75" customHeight="1" x14ac:dyDescent="0.35">
      <c r="H675" s="90"/>
      <c r="I675" s="90"/>
    </row>
    <row r="676" spans="8:9" ht="15.75" customHeight="1" x14ac:dyDescent="0.35">
      <c r="H676" s="90"/>
      <c r="I676" s="90"/>
    </row>
    <row r="677" spans="8:9" ht="15.75" customHeight="1" x14ac:dyDescent="0.35">
      <c r="H677" s="90"/>
      <c r="I677" s="90"/>
    </row>
    <row r="678" spans="8:9" ht="15.75" customHeight="1" x14ac:dyDescent="0.35">
      <c r="H678" s="90"/>
      <c r="I678" s="90"/>
    </row>
    <row r="679" spans="8:9" ht="15.75" customHeight="1" x14ac:dyDescent="0.35">
      <c r="H679" s="90"/>
      <c r="I679" s="90"/>
    </row>
    <row r="680" spans="8:9" ht="15.75" customHeight="1" x14ac:dyDescent="0.35">
      <c r="H680" s="90"/>
      <c r="I680" s="90"/>
    </row>
    <row r="681" spans="8:9" ht="15.75" customHeight="1" x14ac:dyDescent="0.35">
      <c r="H681" s="90"/>
      <c r="I681" s="90"/>
    </row>
    <row r="682" spans="8:9" ht="15.75" customHeight="1" x14ac:dyDescent="0.35">
      <c r="H682" s="90"/>
      <c r="I682" s="90"/>
    </row>
    <row r="683" spans="8:9" ht="15.75" customHeight="1" x14ac:dyDescent="0.35">
      <c r="H683" s="90"/>
      <c r="I683" s="90"/>
    </row>
    <row r="684" spans="8:9" ht="15.75" customHeight="1" x14ac:dyDescent="0.35">
      <c r="H684" s="90"/>
      <c r="I684" s="90"/>
    </row>
    <row r="685" spans="8:9" ht="15.75" customHeight="1" x14ac:dyDescent="0.35">
      <c r="H685" s="90"/>
      <c r="I685" s="90"/>
    </row>
    <row r="686" spans="8:9" ht="15.75" customHeight="1" x14ac:dyDescent="0.35">
      <c r="H686" s="90"/>
      <c r="I686" s="90"/>
    </row>
    <row r="687" spans="8:9" ht="15.75" customHeight="1" x14ac:dyDescent="0.35">
      <c r="H687" s="90"/>
      <c r="I687" s="90"/>
    </row>
    <row r="688" spans="8:9" ht="15.75" customHeight="1" x14ac:dyDescent="0.35">
      <c r="H688" s="90"/>
      <c r="I688" s="90"/>
    </row>
    <row r="689" spans="8:9" ht="15.75" customHeight="1" x14ac:dyDescent="0.35">
      <c r="H689" s="90"/>
      <c r="I689" s="90"/>
    </row>
    <row r="690" spans="8:9" ht="15.75" customHeight="1" x14ac:dyDescent="0.35">
      <c r="H690" s="90"/>
      <c r="I690" s="90"/>
    </row>
    <row r="691" spans="8:9" ht="15.75" customHeight="1" x14ac:dyDescent="0.35">
      <c r="H691" s="90"/>
      <c r="I691" s="90"/>
    </row>
    <row r="692" spans="8:9" ht="15.75" customHeight="1" x14ac:dyDescent="0.35">
      <c r="H692" s="90"/>
      <c r="I692" s="90"/>
    </row>
    <row r="693" spans="8:9" ht="15.75" customHeight="1" x14ac:dyDescent="0.35">
      <c r="H693" s="90"/>
      <c r="I693" s="90"/>
    </row>
    <row r="694" spans="8:9" ht="15.75" customHeight="1" x14ac:dyDescent="0.35">
      <c r="H694" s="90"/>
      <c r="I694" s="90"/>
    </row>
    <row r="695" spans="8:9" ht="15.75" customHeight="1" x14ac:dyDescent="0.35">
      <c r="H695" s="90"/>
      <c r="I695" s="90"/>
    </row>
    <row r="696" spans="8:9" ht="15.75" customHeight="1" x14ac:dyDescent="0.35">
      <c r="H696" s="90"/>
      <c r="I696" s="90"/>
    </row>
    <row r="697" spans="8:9" ht="15.75" customHeight="1" x14ac:dyDescent="0.35">
      <c r="H697" s="90"/>
      <c r="I697" s="90"/>
    </row>
    <row r="698" spans="8:9" ht="15.75" customHeight="1" x14ac:dyDescent="0.35">
      <c r="H698" s="90"/>
      <c r="I698" s="90"/>
    </row>
    <row r="699" spans="8:9" ht="15.75" customHeight="1" x14ac:dyDescent="0.35">
      <c r="H699" s="90"/>
      <c r="I699" s="90"/>
    </row>
    <row r="700" spans="8:9" ht="15.75" customHeight="1" x14ac:dyDescent="0.35">
      <c r="H700" s="90"/>
      <c r="I700" s="90"/>
    </row>
    <row r="701" spans="8:9" ht="15.75" customHeight="1" x14ac:dyDescent="0.35">
      <c r="H701" s="90"/>
      <c r="I701" s="90"/>
    </row>
    <row r="702" spans="8:9" ht="15.75" customHeight="1" x14ac:dyDescent="0.35">
      <c r="H702" s="90"/>
      <c r="I702" s="90"/>
    </row>
    <row r="703" spans="8:9" ht="15.75" customHeight="1" x14ac:dyDescent="0.35">
      <c r="H703" s="90"/>
      <c r="I703" s="90"/>
    </row>
    <row r="704" spans="8:9" ht="15.75" customHeight="1" x14ac:dyDescent="0.35">
      <c r="H704" s="90"/>
      <c r="I704" s="90"/>
    </row>
    <row r="705" spans="8:9" ht="15.75" customHeight="1" x14ac:dyDescent="0.35">
      <c r="H705" s="90"/>
      <c r="I705" s="90"/>
    </row>
    <row r="706" spans="8:9" ht="15.75" customHeight="1" x14ac:dyDescent="0.35">
      <c r="H706" s="90"/>
      <c r="I706" s="90"/>
    </row>
    <row r="707" spans="8:9" ht="15.75" customHeight="1" x14ac:dyDescent="0.35">
      <c r="H707" s="90"/>
      <c r="I707" s="90"/>
    </row>
    <row r="708" spans="8:9" ht="15.75" customHeight="1" x14ac:dyDescent="0.35">
      <c r="H708" s="90"/>
      <c r="I708" s="90"/>
    </row>
    <row r="709" spans="8:9" ht="15.75" customHeight="1" x14ac:dyDescent="0.35">
      <c r="H709" s="90"/>
      <c r="I709" s="90"/>
    </row>
    <row r="710" spans="8:9" ht="15.75" customHeight="1" x14ac:dyDescent="0.35">
      <c r="H710" s="90"/>
      <c r="I710" s="90"/>
    </row>
    <row r="711" spans="8:9" ht="15.75" customHeight="1" x14ac:dyDescent="0.35">
      <c r="H711" s="90"/>
      <c r="I711" s="90"/>
    </row>
    <row r="712" spans="8:9" ht="15.75" customHeight="1" x14ac:dyDescent="0.35">
      <c r="H712" s="90"/>
      <c r="I712" s="90"/>
    </row>
    <row r="713" spans="8:9" ht="15.75" customHeight="1" x14ac:dyDescent="0.35">
      <c r="H713" s="90"/>
      <c r="I713" s="90"/>
    </row>
    <row r="714" spans="8:9" ht="15.75" customHeight="1" x14ac:dyDescent="0.35">
      <c r="H714" s="90"/>
      <c r="I714" s="90"/>
    </row>
    <row r="715" spans="8:9" ht="15.75" customHeight="1" x14ac:dyDescent="0.35">
      <c r="H715" s="90"/>
      <c r="I715" s="90"/>
    </row>
    <row r="716" spans="8:9" ht="15.75" customHeight="1" x14ac:dyDescent="0.35">
      <c r="H716" s="90"/>
      <c r="I716" s="90"/>
    </row>
    <row r="717" spans="8:9" ht="15.75" customHeight="1" x14ac:dyDescent="0.35">
      <c r="H717" s="90"/>
      <c r="I717" s="90"/>
    </row>
    <row r="718" spans="8:9" ht="15.75" customHeight="1" x14ac:dyDescent="0.35">
      <c r="H718" s="90"/>
      <c r="I718" s="90"/>
    </row>
    <row r="719" spans="8:9" ht="15.75" customHeight="1" x14ac:dyDescent="0.35">
      <c r="H719" s="90"/>
      <c r="I719" s="90"/>
    </row>
    <row r="720" spans="8:9" ht="15.75" customHeight="1" x14ac:dyDescent="0.35">
      <c r="H720" s="90"/>
      <c r="I720" s="90"/>
    </row>
    <row r="721" spans="8:9" ht="15.75" customHeight="1" x14ac:dyDescent="0.35">
      <c r="H721" s="90"/>
      <c r="I721" s="90"/>
    </row>
    <row r="722" spans="8:9" ht="15.75" customHeight="1" x14ac:dyDescent="0.35">
      <c r="H722" s="90"/>
      <c r="I722" s="90"/>
    </row>
    <row r="723" spans="8:9" ht="15.75" customHeight="1" x14ac:dyDescent="0.35">
      <c r="H723" s="90"/>
      <c r="I723" s="90"/>
    </row>
    <row r="724" spans="8:9" ht="15.75" customHeight="1" x14ac:dyDescent="0.35">
      <c r="H724" s="90"/>
      <c r="I724" s="90"/>
    </row>
    <row r="725" spans="8:9" ht="15.75" customHeight="1" x14ac:dyDescent="0.35">
      <c r="H725" s="90"/>
      <c r="I725" s="90"/>
    </row>
    <row r="726" spans="8:9" ht="15.75" customHeight="1" x14ac:dyDescent="0.35">
      <c r="H726" s="90"/>
      <c r="I726" s="90"/>
    </row>
    <row r="727" spans="8:9" ht="15.75" customHeight="1" x14ac:dyDescent="0.35">
      <c r="H727" s="90"/>
      <c r="I727" s="90"/>
    </row>
    <row r="728" spans="8:9" ht="15.75" customHeight="1" x14ac:dyDescent="0.35">
      <c r="H728" s="90"/>
      <c r="I728" s="90"/>
    </row>
    <row r="729" spans="8:9" ht="15.75" customHeight="1" x14ac:dyDescent="0.35">
      <c r="H729" s="90"/>
      <c r="I729" s="90"/>
    </row>
    <row r="730" spans="8:9" ht="15.75" customHeight="1" x14ac:dyDescent="0.35">
      <c r="H730" s="90"/>
      <c r="I730" s="90"/>
    </row>
    <row r="731" spans="8:9" ht="15.75" customHeight="1" x14ac:dyDescent="0.35">
      <c r="H731" s="90"/>
      <c r="I731" s="90"/>
    </row>
    <row r="732" spans="8:9" ht="15.75" customHeight="1" x14ac:dyDescent="0.35">
      <c r="H732" s="90"/>
      <c r="I732" s="90"/>
    </row>
    <row r="733" spans="8:9" ht="15.75" customHeight="1" x14ac:dyDescent="0.35">
      <c r="H733" s="90"/>
      <c r="I733" s="90"/>
    </row>
    <row r="734" spans="8:9" ht="15.75" customHeight="1" x14ac:dyDescent="0.35">
      <c r="H734" s="90"/>
      <c r="I734" s="90"/>
    </row>
    <row r="735" spans="8:9" ht="15.75" customHeight="1" x14ac:dyDescent="0.35">
      <c r="H735" s="90"/>
      <c r="I735" s="90"/>
    </row>
    <row r="736" spans="8:9" ht="15.75" customHeight="1" x14ac:dyDescent="0.35">
      <c r="H736" s="90"/>
      <c r="I736" s="90"/>
    </row>
    <row r="737" spans="8:9" ht="15.75" customHeight="1" x14ac:dyDescent="0.35">
      <c r="H737" s="90"/>
      <c r="I737" s="90"/>
    </row>
    <row r="738" spans="8:9" ht="15.75" customHeight="1" x14ac:dyDescent="0.35">
      <c r="H738" s="90"/>
      <c r="I738" s="90"/>
    </row>
    <row r="739" spans="8:9" ht="15.75" customHeight="1" x14ac:dyDescent="0.35">
      <c r="H739" s="90"/>
      <c r="I739" s="90"/>
    </row>
    <row r="740" spans="8:9" ht="15.75" customHeight="1" x14ac:dyDescent="0.35">
      <c r="H740" s="90"/>
      <c r="I740" s="90"/>
    </row>
    <row r="741" spans="8:9" ht="15.75" customHeight="1" x14ac:dyDescent="0.35">
      <c r="H741" s="90"/>
      <c r="I741" s="90"/>
    </row>
    <row r="742" spans="8:9" ht="15.75" customHeight="1" x14ac:dyDescent="0.35">
      <c r="H742" s="90"/>
      <c r="I742" s="90"/>
    </row>
    <row r="743" spans="8:9" ht="15.75" customHeight="1" x14ac:dyDescent="0.35">
      <c r="H743" s="90"/>
      <c r="I743" s="90"/>
    </row>
    <row r="744" spans="8:9" ht="15.75" customHeight="1" x14ac:dyDescent="0.35">
      <c r="H744" s="90"/>
      <c r="I744" s="90"/>
    </row>
    <row r="745" spans="8:9" ht="15.75" customHeight="1" x14ac:dyDescent="0.35">
      <c r="H745" s="90"/>
      <c r="I745" s="90"/>
    </row>
    <row r="746" spans="8:9" ht="15.75" customHeight="1" x14ac:dyDescent="0.35">
      <c r="H746" s="90"/>
      <c r="I746" s="90"/>
    </row>
    <row r="747" spans="8:9" ht="15.75" customHeight="1" x14ac:dyDescent="0.35">
      <c r="H747" s="90"/>
      <c r="I747" s="90"/>
    </row>
    <row r="748" spans="8:9" ht="15.75" customHeight="1" x14ac:dyDescent="0.35">
      <c r="H748" s="90"/>
      <c r="I748" s="90"/>
    </row>
    <row r="749" spans="8:9" ht="15.75" customHeight="1" x14ac:dyDescent="0.35">
      <c r="H749" s="90"/>
      <c r="I749" s="90"/>
    </row>
    <row r="750" spans="8:9" ht="15.75" customHeight="1" x14ac:dyDescent="0.35">
      <c r="H750" s="90"/>
      <c r="I750" s="90"/>
    </row>
    <row r="751" spans="8:9" ht="15.75" customHeight="1" x14ac:dyDescent="0.35">
      <c r="H751" s="90"/>
      <c r="I751" s="90"/>
    </row>
    <row r="752" spans="8:9" ht="15.75" customHeight="1" x14ac:dyDescent="0.35">
      <c r="H752" s="90"/>
      <c r="I752" s="90"/>
    </row>
    <row r="753" spans="8:9" ht="15.75" customHeight="1" x14ac:dyDescent="0.35">
      <c r="H753" s="90"/>
      <c r="I753" s="90"/>
    </row>
    <row r="754" spans="8:9" ht="15.75" customHeight="1" x14ac:dyDescent="0.35">
      <c r="H754" s="90"/>
      <c r="I754" s="90"/>
    </row>
    <row r="755" spans="8:9" ht="15.75" customHeight="1" x14ac:dyDescent="0.35">
      <c r="H755" s="90"/>
      <c r="I755" s="90"/>
    </row>
    <row r="756" spans="8:9" ht="15.75" customHeight="1" x14ac:dyDescent="0.35">
      <c r="H756" s="90"/>
      <c r="I756" s="90"/>
    </row>
    <row r="757" spans="8:9" ht="15.75" customHeight="1" x14ac:dyDescent="0.35">
      <c r="H757" s="90"/>
      <c r="I757" s="90"/>
    </row>
    <row r="758" spans="8:9" ht="15.75" customHeight="1" x14ac:dyDescent="0.35">
      <c r="H758" s="90"/>
      <c r="I758" s="90"/>
    </row>
    <row r="759" spans="8:9" ht="15.75" customHeight="1" x14ac:dyDescent="0.35">
      <c r="H759" s="90"/>
      <c r="I759" s="90"/>
    </row>
    <row r="760" spans="8:9" ht="15.75" customHeight="1" x14ac:dyDescent="0.35">
      <c r="H760" s="90"/>
      <c r="I760" s="90"/>
    </row>
    <row r="761" spans="8:9" ht="15.75" customHeight="1" x14ac:dyDescent="0.35">
      <c r="H761" s="90"/>
      <c r="I761" s="90"/>
    </row>
    <row r="762" spans="8:9" ht="15.75" customHeight="1" x14ac:dyDescent="0.35">
      <c r="H762" s="90"/>
      <c r="I762" s="90"/>
    </row>
    <row r="763" spans="8:9" ht="15.75" customHeight="1" x14ac:dyDescent="0.35">
      <c r="H763" s="90"/>
      <c r="I763" s="90"/>
    </row>
    <row r="764" spans="8:9" ht="15.75" customHeight="1" x14ac:dyDescent="0.35">
      <c r="H764" s="90"/>
      <c r="I764" s="90"/>
    </row>
    <row r="765" spans="8:9" ht="15.75" customHeight="1" x14ac:dyDescent="0.35">
      <c r="H765" s="90"/>
      <c r="I765" s="90"/>
    </row>
    <row r="766" spans="8:9" ht="15.75" customHeight="1" x14ac:dyDescent="0.35">
      <c r="H766" s="90"/>
      <c r="I766" s="90"/>
    </row>
    <row r="767" spans="8:9" ht="15.75" customHeight="1" x14ac:dyDescent="0.35">
      <c r="H767" s="90"/>
      <c r="I767" s="90"/>
    </row>
    <row r="768" spans="8:9" ht="15.75" customHeight="1" x14ac:dyDescent="0.35">
      <c r="H768" s="90"/>
      <c r="I768" s="90"/>
    </row>
    <row r="769" spans="8:9" ht="15.75" customHeight="1" x14ac:dyDescent="0.35">
      <c r="H769" s="90"/>
      <c r="I769" s="90"/>
    </row>
    <row r="770" spans="8:9" ht="15.75" customHeight="1" x14ac:dyDescent="0.35">
      <c r="H770" s="90"/>
      <c r="I770" s="90"/>
    </row>
    <row r="771" spans="8:9" ht="15.75" customHeight="1" x14ac:dyDescent="0.35">
      <c r="H771" s="90"/>
      <c r="I771" s="90"/>
    </row>
    <row r="772" spans="8:9" ht="15.75" customHeight="1" x14ac:dyDescent="0.35">
      <c r="H772" s="90"/>
      <c r="I772" s="90"/>
    </row>
    <row r="773" spans="8:9" ht="15.75" customHeight="1" x14ac:dyDescent="0.35">
      <c r="H773" s="90"/>
      <c r="I773" s="90"/>
    </row>
    <row r="774" spans="8:9" ht="15.75" customHeight="1" x14ac:dyDescent="0.35">
      <c r="H774" s="90"/>
      <c r="I774" s="90"/>
    </row>
    <row r="775" spans="8:9" ht="15.75" customHeight="1" x14ac:dyDescent="0.35">
      <c r="H775" s="90"/>
      <c r="I775" s="90"/>
    </row>
    <row r="776" spans="8:9" ht="15.75" customHeight="1" x14ac:dyDescent="0.35">
      <c r="H776" s="90"/>
      <c r="I776" s="90"/>
    </row>
    <row r="777" spans="8:9" ht="15.75" customHeight="1" x14ac:dyDescent="0.35">
      <c r="H777" s="90"/>
      <c r="I777" s="90"/>
    </row>
    <row r="778" spans="8:9" ht="15.75" customHeight="1" x14ac:dyDescent="0.35">
      <c r="H778" s="90"/>
      <c r="I778" s="90"/>
    </row>
    <row r="779" spans="8:9" ht="15.75" customHeight="1" x14ac:dyDescent="0.35">
      <c r="H779" s="90"/>
      <c r="I779" s="90"/>
    </row>
    <row r="780" spans="8:9" ht="15.75" customHeight="1" x14ac:dyDescent="0.35">
      <c r="H780" s="90"/>
      <c r="I780" s="90"/>
    </row>
    <row r="781" spans="8:9" ht="15.75" customHeight="1" x14ac:dyDescent="0.35">
      <c r="H781" s="90"/>
      <c r="I781" s="90"/>
    </row>
    <row r="782" spans="8:9" ht="15.75" customHeight="1" x14ac:dyDescent="0.35">
      <c r="H782" s="90"/>
      <c r="I782" s="90"/>
    </row>
    <row r="783" spans="8:9" ht="15.75" customHeight="1" x14ac:dyDescent="0.35">
      <c r="H783" s="90"/>
      <c r="I783" s="90"/>
    </row>
    <row r="784" spans="8:9" ht="15.75" customHeight="1" x14ac:dyDescent="0.35">
      <c r="H784" s="90"/>
      <c r="I784" s="90"/>
    </row>
    <row r="785" spans="8:9" ht="15.75" customHeight="1" x14ac:dyDescent="0.35">
      <c r="H785" s="90"/>
      <c r="I785" s="90"/>
    </row>
    <row r="786" spans="8:9" ht="15.75" customHeight="1" x14ac:dyDescent="0.35">
      <c r="H786" s="90"/>
      <c r="I786" s="90"/>
    </row>
    <row r="787" spans="8:9" ht="15.75" customHeight="1" x14ac:dyDescent="0.35">
      <c r="H787" s="90"/>
      <c r="I787" s="90"/>
    </row>
    <row r="788" spans="8:9" ht="15.75" customHeight="1" x14ac:dyDescent="0.35">
      <c r="H788" s="90"/>
      <c r="I788" s="90"/>
    </row>
    <row r="789" spans="8:9" ht="15.75" customHeight="1" x14ac:dyDescent="0.35">
      <c r="H789" s="90"/>
      <c r="I789" s="90"/>
    </row>
    <row r="790" spans="8:9" ht="15.75" customHeight="1" x14ac:dyDescent="0.35">
      <c r="H790" s="90"/>
      <c r="I790" s="90"/>
    </row>
    <row r="791" spans="8:9" ht="15.75" customHeight="1" x14ac:dyDescent="0.35">
      <c r="H791" s="90"/>
      <c r="I791" s="90"/>
    </row>
    <row r="792" spans="8:9" ht="15.75" customHeight="1" x14ac:dyDescent="0.35">
      <c r="H792" s="90"/>
      <c r="I792" s="90"/>
    </row>
    <row r="793" spans="8:9" ht="15.75" customHeight="1" x14ac:dyDescent="0.35">
      <c r="H793" s="90"/>
      <c r="I793" s="90"/>
    </row>
    <row r="794" spans="8:9" ht="15.75" customHeight="1" x14ac:dyDescent="0.35">
      <c r="H794" s="90"/>
      <c r="I794" s="90"/>
    </row>
    <row r="795" spans="8:9" ht="15.75" customHeight="1" x14ac:dyDescent="0.35">
      <c r="H795" s="90"/>
      <c r="I795" s="90"/>
    </row>
    <row r="796" spans="8:9" ht="15.75" customHeight="1" x14ac:dyDescent="0.35">
      <c r="H796" s="90"/>
      <c r="I796" s="90"/>
    </row>
    <row r="797" spans="8:9" ht="15.75" customHeight="1" x14ac:dyDescent="0.35">
      <c r="H797" s="90"/>
      <c r="I797" s="90"/>
    </row>
    <row r="798" spans="8:9" ht="15.75" customHeight="1" x14ac:dyDescent="0.35">
      <c r="H798" s="90"/>
      <c r="I798" s="90"/>
    </row>
    <row r="799" spans="8:9" ht="15.75" customHeight="1" x14ac:dyDescent="0.35">
      <c r="H799" s="90"/>
      <c r="I799" s="90"/>
    </row>
    <row r="800" spans="8:9" ht="15.75" customHeight="1" x14ac:dyDescent="0.35">
      <c r="H800" s="90"/>
      <c r="I800" s="90"/>
    </row>
    <row r="801" spans="8:9" ht="15.75" customHeight="1" x14ac:dyDescent="0.35">
      <c r="H801" s="90"/>
      <c r="I801" s="90"/>
    </row>
    <row r="802" spans="8:9" ht="15.75" customHeight="1" x14ac:dyDescent="0.35">
      <c r="H802" s="90"/>
      <c r="I802" s="90"/>
    </row>
    <row r="803" spans="8:9" ht="15.75" customHeight="1" x14ac:dyDescent="0.35">
      <c r="H803" s="90"/>
      <c r="I803" s="90"/>
    </row>
    <row r="804" spans="8:9" ht="15.75" customHeight="1" x14ac:dyDescent="0.35">
      <c r="H804" s="90"/>
      <c r="I804" s="90"/>
    </row>
    <row r="805" spans="8:9" ht="15.75" customHeight="1" x14ac:dyDescent="0.35">
      <c r="H805" s="90"/>
      <c r="I805" s="90"/>
    </row>
    <row r="806" spans="8:9" ht="15.75" customHeight="1" x14ac:dyDescent="0.35">
      <c r="H806" s="90"/>
      <c r="I806" s="90"/>
    </row>
    <row r="807" spans="8:9" ht="15.75" customHeight="1" x14ac:dyDescent="0.35">
      <c r="H807" s="90"/>
      <c r="I807" s="90"/>
    </row>
    <row r="808" spans="8:9" ht="15.75" customHeight="1" x14ac:dyDescent="0.35">
      <c r="H808" s="90"/>
      <c r="I808" s="90"/>
    </row>
    <row r="809" spans="8:9" ht="15.75" customHeight="1" x14ac:dyDescent="0.35">
      <c r="H809" s="90"/>
      <c r="I809" s="90"/>
    </row>
    <row r="810" spans="8:9" ht="15.75" customHeight="1" x14ac:dyDescent="0.35">
      <c r="H810" s="90"/>
      <c r="I810" s="90"/>
    </row>
    <row r="811" spans="8:9" ht="15.75" customHeight="1" x14ac:dyDescent="0.35">
      <c r="H811" s="90"/>
      <c r="I811" s="90"/>
    </row>
    <row r="812" spans="8:9" ht="15.75" customHeight="1" x14ac:dyDescent="0.35">
      <c r="H812" s="90"/>
      <c r="I812" s="90"/>
    </row>
    <row r="813" spans="8:9" ht="15.75" customHeight="1" x14ac:dyDescent="0.35">
      <c r="H813" s="90"/>
      <c r="I813" s="90"/>
    </row>
    <row r="814" spans="8:9" ht="15.75" customHeight="1" x14ac:dyDescent="0.35">
      <c r="H814" s="90"/>
      <c r="I814" s="90"/>
    </row>
    <row r="815" spans="8:9" ht="15.75" customHeight="1" x14ac:dyDescent="0.35">
      <c r="H815" s="90"/>
      <c r="I815" s="90"/>
    </row>
    <row r="816" spans="8:9" ht="15.75" customHeight="1" x14ac:dyDescent="0.35">
      <c r="H816" s="90"/>
      <c r="I816" s="90"/>
    </row>
    <row r="817" spans="8:9" ht="15.75" customHeight="1" x14ac:dyDescent="0.35">
      <c r="H817" s="90"/>
      <c r="I817" s="90"/>
    </row>
    <row r="818" spans="8:9" ht="15.75" customHeight="1" x14ac:dyDescent="0.35">
      <c r="H818" s="90"/>
      <c r="I818" s="90"/>
    </row>
    <row r="819" spans="8:9" ht="15.75" customHeight="1" x14ac:dyDescent="0.35">
      <c r="H819" s="90"/>
      <c r="I819" s="90"/>
    </row>
    <row r="820" spans="8:9" ht="15.75" customHeight="1" x14ac:dyDescent="0.35">
      <c r="H820" s="90"/>
      <c r="I820" s="90"/>
    </row>
    <row r="821" spans="8:9" ht="15.75" customHeight="1" x14ac:dyDescent="0.35">
      <c r="H821" s="90"/>
      <c r="I821" s="90"/>
    </row>
    <row r="822" spans="8:9" ht="15.75" customHeight="1" x14ac:dyDescent="0.35">
      <c r="H822" s="90"/>
      <c r="I822" s="90"/>
    </row>
    <row r="823" spans="8:9" ht="15.75" customHeight="1" x14ac:dyDescent="0.35">
      <c r="H823" s="90"/>
      <c r="I823" s="90"/>
    </row>
    <row r="824" spans="8:9" ht="15.75" customHeight="1" x14ac:dyDescent="0.35">
      <c r="H824" s="90"/>
      <c r="I824" s="90"/>
    </row>
    <row r="825" spans="8:9" ht="15.75" customHeight="1" x14ac:dyDescent="0.35">
      <c r="H825" s="90"/>
      <c r="I825" s="90"/>
    </row>
    <row r="826" spans="8:9" ht="15.75" customHeight="1" x14ac:dyDescent="0.35">
      <c r="H826" s="90"/>
      <c r="I826" s="90"/>
    </row>
    <row r="827" spans="8:9" ht="15.75" customHeight="1" x14ac:dyDescent="0.35">
      <c r="H827" s="90"/>
      <c r="I827" s="90"/>
    </row>
    <row r="828" spans="8:9" ht="15.75" customHeight="1" x14ac:dyDescent="0.35">
      <c r="H828" s="90"/>
      <c r="I828" s="90"/>
    </row>
    <row r="829" spans="8:9" ht="15.75" customHeight="1" x14ac:dyDescent="0.35">
      <c r="H829" s="90"/>
      <c r="I829" s="90"/>
    </row>
    <row r="830" spans="8:9" ht="15.75" customHeight="1" x14ac:dyDescent="0.35">
      <c r="H830" s="90"/>
      <c r="I830" s="90"/>
    </row>
    <row r="831" spans="8:9" ht="15.75" customHeight="1" x14ac:dyDescent="0.35">
      <c r="H831" s="90"/>
      <c r="I831" s="90"/>
    </row>
    <row r="832" spans="8:9" ht="15.75" customHeight="1" x14ac:dyDescent="0.35">
      <c r="H832" s="90"/>
      <c r="I832" s="90"/>
    </row>
    <row r="833" spans="8:9" ht="15.75" customHeight="1" x14ac:dyDescent="0.35">
      <c r="H833" s="90"/>
      <c r="I833" s="90"/>
    </row>
    <row r="834" spans="8:9" ht="15.75" customHeight="1" x14ac:dyDescent="0.35">
      <c r="H834" s="90"/>
      <c r="I834" s="90"/>
    </row>
    <row r="835" spans="8:9" ht="15.75" customHeight="1" x14ac:dyDescent="0.35">
      <c r="H835" s="90"/>
      <c r="I835" s="90"/>
    </row>
    <row r="836" spans="8:9" ht="15.75" customHeight="1" x14ac:dyDescent="0.35">
      <c r="H836" s="90"/>
      <c r="I836" s="90"/>
    </row>
    <row r="837" spans="8:9" ht="15.75" customHeight="1" x14ac:dyDescent="0.35">
      <c r="H837" s="90"/>
      <c r="I837" s="90"/>
    </row>
    <row r="838" spans="8:9" ht="15.75" customHeight="1" x14ac:dyDescent="0.35">
      <c r="H838" s="90"/>
      <c r="I838" s="90"/>
    </row>
    <row r="839" spans="8:9" ht="15.75" customHeight="1" x14ac:dyDescent="0.35">
      <c r="H839" s="90"/>
      <c r="I839" s="90"/>
    </row>
    <row r="840" spans="8:9" ht="15.75" customHeight="1" x14ac:dyDescent="0.35">
      <c r="H840" s="90"/>
      <c r="I840" s="90"/>
    </row>
    <row r="841" spans="8:9" ht="15.75" customHeight="1" x14ac:dyDescent="0.35">
      <c r="H841" s="90"/>
      <c r="I841" s="90"/>
    </row>
    <row r="842" spans="8:9" ht="15.75" customHeight="1" x14ac:dyDescent="0.35">
      <c r="H842" s="90"/>
      <c r="I842" s="90"/>
    </row>
    <row r="843" spans="8:9" ht="15.75" customHeight="1" x14ac:dyDescent="0.35">
      <c r="H843" s="90"/>
      <c r="I843" s="90"/>
    </row>
    <row r="844" spans="8:9" ht="15.75" customHeight="1" x14ac:dyDescent="0.35">
      <c r="H844" s="90"/>
      <c r="I844" s="90"/>
    </row>
    <row r="845" spans="8:9" ht="15.75" customHeight="1" x14ac:dyDescent="0.35">
      <c r="H845" s="90"/>
      <c r="I845" s="90"/>
    </row>
    <row r="846" spans="8:9" ht="15.75" customHeight="1" x14ac:dyDescent="0.35">
      <c r="H846" s="90"/>
      <c r="I846" s="90"/>
    </row>
    <row r="847" spans="8:9" ht="15.75" customHeight="1" x14ac:dyDescent="0.35">
      <c r="H847" s="90"/>
      <c r="I847" s="90"/>
    </row>
    <row r="848" spans="8:9" ht="15.75" customHeight="1" x14ac:dyDescent="0.35">
      <c r="H848" s="90"/>
      <c r="I848" s="90"/>
    </row>
    <row r="849" spans="8:9" ht="15.75" customHeight="1" x14ac:dyDescent="0.35">
      <c r="H849" s="90"/>
      <c r="I849" s="90"/>
    </row>
    <row r="850" spans="8:9" ht="15.75" customHeight="1" x14ac:dyDescent="0.35">
      <c r="H850" s="90"/>
      <c r="I850" s="90"/>
    </row>
    <row r="851" spans="8:9" ht="15.75" customHeight="1" x14ac:dyDescent="0.35">
      <c r="H851" s="90"/>
      <c r="I851" s="90"/>
    </row>
    <row r="852" spans="8:9" ht="15.75" customHeight="1" x14ac:dyDescent="0.35">
      <c r="H852" s="90"/>
      <c r="I852" s="90"/>
    </row>
    <row r="853" spans="8:9" ht="15.75" customHeight="1" x14ac:dyDescent="0.35">
      <c r="H853" s="90"/>
      <c r="I853" s="90"/>
    </row>
    <row r="854" spans="8:9" ht="15.75" customHeight="1" x14ac:dyDescent="0.35">
      <c r="H854" s="90"/>
      <c r="I854" s="90"/>
    </row>
    <row r="855" spans="8:9" ht="15.75" customHeight="1" x14ac:dyDescent="0.35">
      <c r="H855" s="90"/>
      <c r="I855" s="90"/>
    </row>
    <row r="856" spans="8:9" ht="15.75" customHeight="1" x14ac:dyDescent="0.35">
      <c r="H856" s="90"/>
      <c r="I856" s="90"/>
    </row>
    <row r="857" spans="8:9" ht="15.75" customHeight="1" x14ac:dyDescent="0.35">
      <c r="H857" s="90"/>
      <c r="I857" s="90"/>
    </row>
    <row r="858" spans="8:9" ht="15.75" customHeight="1" x14ac:dyDescent="0.35">
      <c r="H858" s="90"/>
      <c r="I858" s="90"/>
    </row>
    <row r="859" spans="8:9" ht="15.75" customHeight="1" x14ac:dyDescent="0.35">
      <c r="H859" s="90"/>
      <c r="I859" s="90"/>
    </row>
    <row r="860" spans="8:9" ht="15.75" customHeight="1" x14ac:dyDescent="0.35">
      <c r="H860" s="90"/>
      <c r="I860" s="90"/>
    </row>
    <row r="861" spans="8:9" ht="15.75" customHeight="1" x14ac:dyDescent="0.35">
      <c r="H861" s="90"/>
      <c r="I861" s="90"/>
    </row>
    <row r="862" spans="8:9" ht="15.75" customHeight="1" x14ac:dyDescent="0.35">
      <c r="H862" s="90"/>
      <c r="I862" s="90"/>
    </row>
    <row r="863" spans="8:9" ht="15.75" customHeight="1" x14ac:dyDescent="0.35">
      <c r="H863" s="90"/>
      <c r="I863" s="90"/>
    </row>
    <row r="864" spans="8:9" ht="15.75" customHeight="1" x14ac:dyDescent="0.35">
      <c r="H864" s="90"/>
      <c r="I864" s="90"/>
    </row>
    <row r="865" spans="8:9" ht="15.75" customHeight="1" x14ac:dyDescent="0.35">
      <c r="H865" s="90"/>
      <c r="I865" s="90"/>
    </row>
    <row r="866" spans="8:9" ht="15.75" customHeight="1" x14ac:dyDescent="0.35">
      <c r="H866" s="90"/>
      <c r="I866" s="90"/>
    </row>
    <row r="867" spans="8:9" ht="15.75" customHeight="1" x14ac:dyDescent="0.35">
      <c r="H867" s="90"/>
      <c r="I867" s="90"/>
    </row>
    <row r="868" spans="8:9" ht="15.75" customHeight="1" x14ac:dyDescent="0.35">
      <c r="H868" s="90"/>
      <c r="I868" s="90"/>
    </row>
    <row r="869" spans="8:9" ht="15.75" customHeight="1" x14ac:dyDescent="0.35">
      <c r="H869" s="90"/>
      <c r="I869" s="90"/>
    </row>
    <row r="870" spans="8:9" ht="15.75" customHeight="1" x14ac:dyDescent="0.35">
      <c r="H870" s="90"/>
      <c r="I870" s="90"/>
    </row>
    <row r="871" spans="8:9" ht="15.75" customHeight="1" x14ac:dyDescent="0.35">
      <c r="H871" s="90"/>
      <c r="I871" s="90"/>
    </row>
    <row r="872" spans="8:9" ht="15.75" customHeight="1" x14ac:dyDescent="0.35">
      <c r="H872" s="90"/>
      <c r="I872" s="90"/>
    </row>
    <row r="873" spans="8:9" ht="15.75" customHeight="1" x14ac:dyDescent="0.35">
      <c r="H873" s="90"/>
      <c r="I873" s="90"/>
    </row>
    <row r="874" spans="8:9" ht="15.75" customHeight="1" x14ac:dyDescent="0.35">
      <c r="H874" s="90"/>
      <c r="I874" s="90"/>
    </row>
    <row r="875" spans="8:9" ht="15.75" customHeight="1" x14ac:dyDescent="0.35">
      <c r="H875" s="90"/>
      <c r="I875" s="90"/>
    </row>
    <row r="876" spans="8:9" ht="15.75" customHeight="1" x14ac:dyDescent="0.35">
      <c r="H876" s="90"/>
      <c r="I876" s="90"/>
    </row>
    <row r="877" spans="8:9" ht="15.75" customHeight="1" x14ac:dyDescent="0.35">
      <c r="H877" s="90"/>
      <c r="I877" s="90"/>
    </row>
    <row r="878" spans="8:9" ht="15.75" customHeight="1" x14ac:dyDescent="0.35">
      <c r="H878" s="90"/>
      <c r="I878" s="90"/>
    </row>
    <row r="879" spans="8:9" ht="15.75" customHeight="1" x14ac:dyDescent="0.35">
      <c r="H879" s="90"/>
      <c r="I879" s="90"/>
    </row>
    <row r="880" spans="8:9" ht="15.75" customHeight="1" x14ac:dyDescent="0.35">
      <c r="H880" s="90"/>
      <c r="I880" s="90"/>
    </row>
    <row r="881" spans="8:9" ht="15.75" customHeight="1" x14ac:dyDescent="0.35">
      <c r="H881" s="90"/>
      <c r="I881" s="90"/>
    </row>
    <row r="882" spans="8:9" ht="15.75" customHeight="1" x14ac:dyDescent="0.35">
      <c r="H882" s="90"/>
      <c r="I882" s="90"/>
    </row>
    <row r="883" spans="8:9" ht="15.75" customHeight="1" x14ac:dyDescent="0.35">
      <c r="H883" s="90"/>
      <c r="I883" s="90"/>
    </row>
    <row r="884" spans="8:9" ht="15.75" customHeight="1" x14ac:dyDescent="0.35">
      <c r="H884" s="90"/>
      <c r="I884" s="90"/>
    </row>
    <row r="885" spans="8:9" ht="15.75" customHeight="1" x14ac:dyDescent="0.35">
      <c r="H885" s="90"/>
      <c r="I885" s="90"/>
    </row>
    <row r="886" spans="8:9" ht="15.75" customHeight="1" x14ac:dyDescent="0.35">
      <c r="H886" s="90"/>
      <c r="I886" s="90"/>
    </row>
    <row r="887" spans="8:9" ht="15.75" customHeight="1" x14ac:dyDescent="0.35">
      <c r="H887" s="90"/>
      <c r="I887" s="90"/>
    </row>
    <row r="888" spans="8:9" ht="15.75" customHeight="1" x14ac:dyDescent="0.35">
      <c r="H888" s="90"/>
      <c r="I888" s="90"/>
    </row>
    <row r="889" spans="8:9" ht="15.75" customHeight="1" x14ac:dyDescent="0.35">
      <c r="H889" s="90"/>
      <c r="I889" s="90"/>
    </row>
    <row r="890" spans="8:9" ht="15.75" customHeight="1" x14ac:dyDescent="0.35">
      <c r="H890" s="90"/>
      <c r="I890" s="90"/>
    </row>
    <row r="891" spans="8:9" ht="15.75" customHeight="1" x14ac:dyDescent="0.35">
      <c r="H891" s="90"/>
      <c r="I891" s="90"/>
    </row>
    <row r="892" spans="8:9" ht="15.75" customHeight="1" x14ac:dyDescent="0.35">
      <c r="H892" s="90"/>
      <c r="I892" s="90"/>
    </row>
    <row r="893" spans="8:9" ht="15.75" customHeight="1" x14ac:dyDescent="0.35">
      <c r="H893" s="90"/>
      <c r="I893" s="90"/>
    </row>
    <row r="894" spans="8:9" ht="15.75" customHeight="1" x14ac:dyDescent="0.35">
      <c r="H894" s="90"/>
      <c r="I894" s="90"/>
    </row>
    <row r="895" spans="8:9" ht="15.75" customHeight="1" x14ac:dyDescent="0.35">
      <c r="H895" s="90"/>
      <c r="I895" s="90"/>
    </row>
    <row r="896" spans="8:9" ht="15.75" customHeight="1" x14ac:dyDescent="0.35">
      <c r="H896" s="90"/>
      <c r="I896" s="90"/>
    </row>
    <row r="897" spans="8:9" ht="15.75" customHeight="1" x14ac:dyDescent="0.35">
      <c r="H897" s="90"/>
      <c r="I897" s="90"/>
    </row>
    <row r="898" spans="8:9" ht="15.75" customHeight="1" x14ac:dyDescent="0.35">
      <c r="H898" s="90"/>
      <c r="I898" s="90"/>
    </row>
    <row r="899" spans="8:9" ht="15.75" customHeight="1" x14ac:dyDescent="0.35">
      <c r="H899" s="90"/>
      <c r="I899" s="90"/>
    </row>
    <row r="900" spans="8:9" ht="15.75" customHeight="1" x14ac:dyDescent="0.35">
      <c r="H900" s="90"/>
      <c r="I900" s="90"/>
    </row>
    <row r="901" spans="8:9" ht="15.75" customHeight="1" x14ac:dyDescent="0.35">
      <c r="H901" s="90"/>
      <c r="I901" s="90"/>
    </row>
    <row r="902" spans="8:9" ht="15.75" customHeight="1" x14ac:dyDescent="0.35">
      <c r="H902" s="90"/>
      <c r="I902" s="90"/>
    </row>
    <row r="903" spans="8:9" ht="15.75" customHeight="1" x14ac:dyDescent="0.35">
      <c r="H903" s="90"/>
      <c r="I903" s="90"/>
    </row>
    <row r="904" spans="8:9" ht="15.75" customHeight="1" x14ac:dyDescent="0.35">
      <c r="H904" s="90"/>
      <c r="I904" s="90"/>
    </row>
    <row r="905" spans="8:9" ht="15.75" customHeight="1" x14ac:dyDescent="0.35">
      <c r="H905" s="90"/>
      <c r="I905" s="90"/>
    </row>
    <row r="906" spans="8:9" ht="15.75" customHeight="1" x14ac:dyDescent="0.35">
      <c r="H906" s="90"/>
      <c r="I906" s="90"/>
    </row>
    <row r="907" spans="8:9" ht="15.75" customHeight="1" x14ac:dyDescent="0.35">
      <c r="H907" s="90"/>
      <c r="I907" s="90"/>
    </row>
    <row r="908" spans="8:9" ht="15.75" customHeight="1" x14ac:dyDescent="0.35">
      <c r="H908" s="90"/>
      <c r="I908" s="90"/>
    </row>
    <row r="909" spans="8:9" ht="15.75" customHeight="1" x14ac:dyDescent="0.35">
      <c r="H909" s="90"/>
      <c r="I909" s="90"/>
    </row>
    <row r="910" spans="8:9" ht="15.75" customHeight="1" x14ac:dyDescent="0.35">
      <c r="H910" s="90"/>
      <c r="I910" s="90"/>
    </row>
    <row r="911" spans="8:9" ht="15.75" customHeight="1" x14ac:dyDescent="0.35">
      <c r="H911" s="90"/>
      <c r="I911" s="90"/>
    </row>
    <row r="912" spans="8:9" ht="15.75" customHeight="1" x14ac:dyDescent="0.35">
      <c r="H912" s="90"/>
      <c r="I912" s="90"/>
    </row>
    <row r="913" spans="8:9" ht="15.75" customHeight="1" x14ac:dyDescent="0.35">
      <c r="H913" s="90"/>
      <c r="I913" s="90"/>
    </row>
    <row r="914" spans="8:9" ht="15.75" customHeight="1" x14ac:dyDescent="0.35">
      <c r="H914" s="90"/>
      <c r="I914" s="90"/>
    </row>
    <row r="915" spans="8:9" ht="15.75" customHeight="1" x14ac:dyDescent="0.35">
      <c r="H915" s="90"/>
      <c r="I915" s="90"/>
    </row>
    <row r="916" spans="8:9" ht="15.75" customHeight="1" x14ac:dyDescent="0.35">
      <c r="H916" s="90"/>
      <c r="I916" s="90"/>
    </row>
    <row r="917" spans="8:9" ht="15.75" customHeight="1" x14ac:dyDescent="0.35">
      <c r="H917" s="90"/>
      <c r="I917" s="90"/>
    </row>
    <row r="918" spans="8:9" ht="15.75" customHeight="1" x14ac:dyDescent="0.35">
      <c r="H918" s="90"/>
      <c r="I918" s="90"/>
    </row>
    <row r="919" spans="8:9" ht="15.75" customHeight="1" x14ac:dyDescent="0.35">
      <c r="H919" s="90"/>
      <c r="I919" s="90"/>
    </row>
    <row r="920" spans="8:9" ht="15.75" customHeight="1" x14ac:dyDescent="0.35">
      <c r="H920" s="90"/>
      <c r="I920" s="90"/>
    </row>
    <row r="921" spans="8:9" ht="15.75" customHeight="1" x14ac:dyDescent="0.35">
      <c r="H921" s="90"/>
      <c r="I921" s="90"/>
    </row>
    <row r="922" spans="8:9" ht="15.75" customHeight="1" x14ac:dyDescent="0.35">
      <c r="H922" s="90"/>
      <c r="I922" s="90"/>
    </row>
    <row r="923" spans="8:9" ht="15.75" customHeight="1" x14ac:dyDescent="0.35">
      <c r="H923" s="90"/>
      <c r="I923" s="90"/>
    </row>
    <row r="924" spans="8:9" ht="15.75" customHeight="1" x14ac:dyDescent="0.35">
      <c r="H924" s="90"/>
      <c r="I924" s="90"/>
    </row>
    <row r="925" spans="8:9" ht="15.75" customHeight="1" x14ac:dyDescent="0.35">
      <c r="H925" s="90"/>
      <c r="I925" s="90"/>
    </row>
    <row r="926" spans="8:9" ht="15.75" customHeight="1" x14ac:dyDescent="0.35">
      <c r="H926" s="90"/>
      <c r="I926" s="90"/>
    </row>
    <row r="927" spans="8:9" ht="15.75" customHeight="1" x14ac:dyDescent="0.35">
      <c r="H927" s="90"/>
      <c r="I927" s="90"/>
    </row>
    <row r="928" spans="8:9" ht="15.75" customHeight="1" x14ac:dyDescent="0.35">
      <c r="H928" s="90"/>
      <c r="I928" s="90"/>
    </row>
    <row r="929" spans="8:9" ht="15.75" customHeight="1" x14ac:dyDescent="0.35">
      <c r="H929" s="90"/>
      <c r="I929" s="90"/>
    </row>
    <row r="930" spans="8:9" ht="15.75" customHeight="1" x14ac:dyDescent="0.35">
      <c r="H930" s="90"/>
      <c r="I930" s="90"/>
    </row>
    <row r="931" spans="8:9" ht="15.75" customHeight="1" x14ac:dyDescent="0.35">
      <c r="H931" s="90"/>
      <c r="I931" s="90"/>
    </row>
    <row r="932" spans="8:9" ht="15.75" customHeight="1" x14ac:dyDescent="0.35">
      <c r="H932" s="90"/>
      <c r="I932" s="90"/>
    </row>
    <row r="933" spans="8:9" ht="15.75" customHeight="1" x14ac:dyDescent="0.35">
      <c r="H933" s="90"/>
      <c r="I933" s="90"/>
    </row>
    <row r="934" spans="8:9" ht="15.75" customHeight="1" x14ac:dyDescent="0.35">
      <c r="H934" s="90"/>
      <c r="I934" s="90"/>
    </row>
    <row r="935" spans="8:9" ht="15.75" customHeight="1" x14ac:dyDescent="0.35">
      <c r="H935" s="90"/>
      <c r="I935" s="90"/>
    </row>
    <row r="936" spans="8:9" ht="15.75" customHeight="1" x14ac:dyDescent="0.35">
      <c r="H936" s="90"/>
      <c r="I936" s="90"/>
    </row>
    <row r="937" spans="8:9" ht="15.75" customHeight="1" x14ac:dyDescent="0.35">
      <c r="H937" s="90"/>
      <c r="I937" s="90"/>
    </row>
    <row r="938" spans="8:9" ht="15.75" customHeight="1" x14ac:dyDescent="0.35">
      <c r="H938" s="90"/>
      <c r="I938" s="90"/>
    </row>
    <row r="939" spans="8:9" ht="15.75" customHeight="1" x14ac:dyDescent="0.35">
      <c r="H939" s="90"/>
      <c r="I939" s="90"/>
    </row>
    <row r="940" spans="8:9" ht="15.75" customHeight="1" x14ac:dyDescent="0.35">
      <c r="H940" s="90"/>
      <c r="I940" s="90"/>
    </row>
    <row r="941" spans="8:9" ht="15.75" customHeight="1" x14ac:dyDescent="0.35">
      <c r="H941" s="90"/>
      <c r="I941" s="90"/>
    </row>
    <row r="942" spans="8:9" ht="15.75" customHeight="1" x14ac:dyDescent="0.35">
      <c r="H942" s="90"/>
      <c r="I942" s="90"/>
    </row>
    <row r="943" spans="8:9" ht="15.75" customHeight="1" x14ac:dyDescent="0.35">
      <c r="H943" s="90"/>
      <c r="I943" s="90"/>
    </row>
    <row r="944" spans="8:9" ht="15.75" customHeight="1" x14ac:dyDescent="0.35">
      <c r="H944" s="90"/>
      <c r="I944" s="90"/>
    </row>
    <row r="945" spans="8:9" ht="15.75" customHeight="1" x14ac:dyDescent="0.35">
      <c r="H945" s="90"/>
      <c r="I945" s="90"/>
    </row>
    <row r="946" spans="8:9" ht="15.75" customHeight="1" x14ac:dyDescent="0.35">
      <c r="H946" s="90"/>
      <c r="I946" s="90"/>
    </row>
    <row r="947" spans="8:9" ht="15.75" customHeight="1" x14ac:dyDescent="0.35">
      <c r="H947" s="90"/>
      <c r="I947" s="90"/>
    </row>
    <row r="948" spans="8:9" ht="15.75" customHeight="1" x14ac:dyDescent="0.35">
      <c r="H948" s="90"/>
      <c r="I948" s="90"/>
    </row>
    <row r="949" spans="8:9" ht="15.75" customHeight="1" x14ac:dyDescent="0.35">
      <c r="H949" s="90"/>
      <c r="I949" s="90"/>
    </row>
    <row r="950" spans="8:9" ht="15.75" customHeight="1" x14ac:dyDescent="0.35">
      <c r="H950" s="90"/>
      <c r="I950" s="90"/>
    </row>
    <row r="951" spans="8:9" ht="15.75" customHeight="1" x14ac:dyDescent="0.35">
      <c r="H951" s="90"/>
      <c r="I951" s="90"/>
    </row>
    <row r="952" spans="8:9" ht="15.75" customHeight="1" x14ac:dyDescent="0.35">
      <c r="H952" s="90"/>
      <c r="I952" s="90"/>
    </row>
    <row r="953" spans="8:9" ht="15.75" customHeight="1" x14ac:dyDescent="0.35">
      <c r="H953" s="90"/>
      <c r="I953" s="90"/>
    </row>
    <row r="954" spans="8:9" ht="15.75" customHeight="1" x14ac:dyDescent="0.35">
      <c r="H954" s="90"/>
      <c r="I954" s="90"/>
    </row>
    <row r="955" spans="8:9" ht="15.75" customHeight="1" x14ac:dyDescent="0.35">
      <c r="H955" s="90"/>
      <c r="I955" s="90"/>
    </row>
    <row r="956" spans="8:9" ht="15.75" customHeight="1" x14ac:dyDescent="0.35">
      <c r="H956" s="90"/>
      <c r="I956" s="90"/>
    </row>
    <row r="957" spans="8:9" ht="15.75" customHeight="1" x14ac:dyDescent="0.35">
      <c r="H957" s="90"/>
      <c r="I957" s="90"/>
    </row>
    <row r="958" spans="8:9" ht="15.75" customHeight="1" x14ac:dyDescent="0.35">
      <c r="H958" s="90"/>
      <c r="I958" s="90"/>
    </row>
    <row r="959" spans="8:9" ht="15.75" customHeight="1" x14ac:dyDescent="0.35">
      <c r="H959" s="90"/>
      <c r="I959" s="90"/>
    </row>
    <row r="960" spans="8:9" ht="15.75" customHeight="1" x14ac:dyDescent="0.35">
      <c r="H960" s="90"/>
      <c r="I960" s="90"/>
    </row>
    <row r="961" spans="8:9" ht="15.75" customHeight="1" x14ac:dyDescent="0.35">
      <c r="H961" s="90"/>
      <c r="I961" s="90"/>
    </row>
    <row r="962" spans="8:9" ht="15.75" customHeight="1" x14ac:dyDescent="0.35">
      <c r="H962" s="90"/>
      <c r="I962" s="90"/>
    </row>
    <row r="963" spans="8:9" ht="15.75" customHeight="1" x14ac:dyDescent="0.35">
      <c r="H963" s="90"/>
      <c r="I963" s="90"/>
    </row>
    <row r="964" spans="8:9" ht="15.75" customHeight="1" x14ac:dyDescent="0.35">
      <c r="H964" s="90"/>
      <c r="I964" s="90"/>
    </row>
    <row r="965" spans="8:9" ht="15.75" customHeight="1" x14ac:dyDescent="0.35">
      <c r="H965" s="90"/>
      <c r="I965" s="90"/>
    </row>
    <row r="966" spans="8:9" ht="15.75" customHeight="1" x14ac:dyDescent="0.35">
      <c r="H966" s="90"/>
      <c r="I966" s="90"/>
    </row>
    <row r="967" spans="8:9" ht="15.75" customHeight="1" x14ac:dyDescent="0.35">
      <c r="H967" s="90"/>
      <c r="I967" s="90"/>
    </row>
    <row r="968" spans="8:9" ht="15.75" customHeight="1" x14ac:dyDescent="0.35">
      <c r="H968" s="90"/>
      <c r="I968" s="90"/>
    </row>
    <row r="969" spans="8:9" ht="15.75" customHeight="1" x14ac:dyDescent="0.35">
      <c r="H969" s="90"/>
      <c r="I969" s="90"/>
    </row>
    <row r="970" spans="8:9" ht="15.75" customHeight="1" x14ac:dyDescent="0.35">
      <c r="H970" s="90"/>
      <c r="I970" s="90"/>
    </row>
    <row r="971" spans="8:9" ht="15.75" customHeight="1" x14ac:dyDescent="0.35">
      <c r="H971" s="90"/>
      <c r="I971" s="90"/>
    </row>
    <row r="972" spans="8:9" ht="15.75" customHeight="1" x14ac:dyDescent="0.35">
      <c r="H972" s="90"/>
      <c r="I972" s="90"/>
    </row>
    <row r="973" spans="8:9" ht="15.75" customHeight="1" x14ac:dyDescent="0.35">
      <c r="H973" s="90"/>
      <c r="I973" s="90"/>
    </row>
    <row r="974" spans="8:9" ht="15.75" customHeight="1" x14ac:dyDescent="0.35">
      <c r="H974" s="90"/>
      <c r="I974" s="90"/>
    </row>
    <row r="975" spans="8:9" ht="15.75" customHeight="1" x14ac:dyDescent="0.35">
      <c r="H975" s="90"/>
      <c r="I975" s="90"/>
    </row>
    <row r="976" spans="8:9" ht="15.75" customHeight="1" x14ac:dyDescent="0.35">
      <c r="H976" s="90"/>
      <c r="I976" s="90"/>
    </row>
    <row r="977" spans="8:9" ht="15.75" customHeight="1" x14ac:dyDescent="0.35">
      <c r="H977" s="90"/>
      <c r="I977" s="90"/>
    </row>
    <row r="978" spans="8:9" ht="15.75" customHeight="1" x14ac:dyDescent="0.35">
      <c r="H978" s="90"/>
      <c r="I978" s="90"/>
    </row>
    <row r="979" spans="8:9" ht="15.75" customHeight="1" x14ac:dyDescent="0.35">
      <c r="H979" s="90"/>
      <c r="I979" s="90"/>
    </row>
    <row r="980" spans="8:9" ht="15.75" customHeight="1" x14ac:dyDescent="0.35">
      <c r="H980" s="90"/>
      <c r="I980" s="90"/>
    </row>
    <row r="981" spans="8:9" ht="15.75" customHeight="1" x14ac:dyDescent="0.35">
      <c r="H981" s="90"/>
      <c r="I981" s="90"/>
    </row>
    <row r="982" spans="8:9" ht="15.75" customHeight="1" x14ac:dyDescent="0.35">
      <c r="H982" s="90"/>
      <c r="I982" s="90"/>
    </row>
    <row r="983" spans="8:9" ht="15.75" customHeight="1" x14ac:dyDescent="0.35">
      <c r="H983" s="90"/>
      <c r="I983" s="90"/>
    </row>
    <row r="984" spans="8:9" ht="15.75" customHeight="1" x14ac:dyDescent="0.35">
      <c r="H984" s="90"/>
      <c r="I984" s="90"/>
    </row>
    <row r="985" spans="8:9" ht="15.75" customHeight="1" x14ac:dyDescent="0.35">
      <c r="H985" s="90"/>
      <c r="I985" s="90"/>
    </row>
    <row r="986" spans="8:9" ht="15.75" customHeight="1" x14ac:dyDescent="0.35">
      <c r="H986" s="90"/>
      <c r="I986" s="90"/>
    </row>
    <row r="987" spans="8:9" ht="15.75" customHeight="1" x14ac:dyDescent="0.35">
      <c r="H987" s="90"/>
      <c r="I987" s="90"/>
    </row>
    <row r="988" spans="8:9" ht="15.75" customHeight="1" x14ac:dyDescent="0.35">
      <c r="H988" s="90"/>
      <c r="I988" s="90"/>
    </row>
    <row r="989" spans="8:9" ht="15.75" customHeight="1" x14ac:dyDescent="0.35">
      <c r="H989" s="90"/>
      <c r="I989" s="90"/>
    </row>
    <row r="990" spans="8:9" ht="15.75" customHeight="1" x14ac:dyDescent="0.35">
      <c r="H990" s="90"/>
      <c r="I990" s="90"/>
    </row>
    <row r="991" spans="8:9" ht="15.75" customHeight="1" x14ac:dyDescent="0.35">
      <c r="H991" s="90"/>
      <c r="I991" s="90"/>
    </row>
    <row r="992" spans="8:9" ht="15.75" customHeight="1" x14ac:dyDescent="0.35">
      <c r="H992" s="90"/>
      <c r="I992" s="90"/>
    </row>
    <row r="993" spans="8:9" ht="15.75" customHeight="1" x14ac:dyDescent="0.35">
      <c r="H993" s="90"/>
      <c r="I993" s="90"/>
    </row>
    <row r="994" spans="8:9" ht="15.75" customHeight="1" x14ac:dyDescent="0.35">
      <c r="H994" s="90"/>
      <c r="I994" s="90"/>
    </row>
    <row r="995" spans="8:9" ht="15.75" customHeight="1" x14ac:dyDescent="0.35">
      <c r="H995" s="90"/>
      <c r="I995" s="90"/>
    </row>
    <row r="996" spans="8:9" ht="15.75" customHeight="1" x14ac:dyDescent="0.35">
      <c r="H996" s="90"/>
      <c r="I996" s="90"/>
    </row>
    <row r="997" spans="8:9" ht="15.75" customHeight="1" x14ac:dyDescent="0.35">
      <c r="H997" s="90"/>
      <c r="I997" s="90"/>
    </row>
    <row r="998" spans="8:9" ht="15.75" customHeight="1" x14ac:dyDescent="0.35">
      <c r="H998" s="90"/>
      <c r="I998" s="90"/>
    </row>
    <row r="999" spans="8:9" ht="15.75" customHeight="1" x14ac:dyDescent="0.35">
      <c r="H999" s="90"/>
      <c r="I999" s="90"/>
    </row>
    <row r="1000" spans="8:9" ht="15.75" customHeight="1" x14ac:dyDescent="0.35">
      <c r="H1000" s="90"/>
      <c r="I1000" s="90"/>
    </row>
    <row r="1001" spans="8:9" ht="15.75" customHeight="1" x14ac:dyDescent="0.35">
      <c r="H1001" s="90"/>
      <c r="I1001" s="90"/>
    </row>
    <row r="1002" spans="8:9" ht="15.75" customHeight="1" x14ac:dyDescent="0.35">
      <c r="H1002" s="90"/>
      <c r="I1002" s="90"/>
    </row>
    <row r="1003" spans="8:9" ht="15.75" customHeight="1" x14ac:dyDescent="0.35">
      <c r="H1003" s="90"/>
      <c r="I1003" s="90"/>
    </row>
  </sheetData>
  <mergeCells count="14">
    <mergeCell ref="O2:P2"/>
    <mergeCell ref="T2:T5"/>
    <mergeCell ref="O3:P3"/>
    <mergeCell ref="E3:I3"/>
    <mergeCell ref="G69:H69"/>
    <mergeCell ref="I69:I70"/>
    <mergeCell ref="G70:H70"/>
    <mergeCell ref="L2:L4"/>
    <mergeCell ref="M2:N3"/>
    <mergeCell ref="A1:I1"/>
    <mergeCell ref="A2:A4"/>
    <mergeCell ref="B2:B4"/>
    <mergeCell ref="C2:D3"/>
    <mergeCell ref="E2:I2"/>
  </mergeCells>
  <pageMargins left="0.25" right="0.25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OCT 8</vt:lpstr>
      <vt:lpstr> OCT 9</vt:lpstr>
      <vt:lpstr> OCT 10</vt:lpstr>
      <vt:lpstr> OCT 12</vt:lpstr>
      <vt:lpstr>OCT 13</vt:lpstr>
      <vt:lpstr>OCT 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Enrico Garcia</cp:lastModifiedBy>
  <dcterms:created xsi:type="dcterms:W3CDTF">2026-08-12T08:42:41Z</dcterms:created>
  <dcterms:modified xsi:type="dcterms:W3CDTF">2026-10-16T00:51:04Z</dcterms:modified>
</cp:coreProperties>
</file>